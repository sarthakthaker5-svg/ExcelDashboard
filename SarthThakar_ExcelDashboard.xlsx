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32ba6821f5d7695d/Desktop/"/>
    </mc:Choice>
  </mc:AlternateContent>
  <xr:revisionPtr revIDLastSave="34" documentId="8_{4819ED4B-7D92-4A4B-97A4-5B6068830CF8}" xr6:coauthVersionLast="47" xr6:coauthVersionMax="47" xr10:uidLastSave="{A9FEE381-6966-41EF-A6E6-DF0EDE53734D}"/>
  <bookViews>
    <workbookView xWindow="-120" yWindow="-120" windowWidth="20730" windowHeight="11760" tabRatio="749" activeTab="1" xr2:uid="{758138D6-B995-40E9-9ED5-3788E6FD65D7}"/>
  </bookViews>
  <sheets>
    <sheet name="Raw Data" sheetId="1" r:id="rId1"/>
    <sheet name="Cleaned Data" sheetId="2" r:id="rId2"/>
    <sheet name="Pivot Table" sheetId="9" r:id="rId3"/>
    <sheet name="Formulas" sheetId="4" r:id="rId4"/>
    <sheet name="Visualization" sheetId="5" r:id="rId5"/>
    <sheet name="Dashboard" sheetId="6" r:id="rId6"/>
    <sheet name="Documentation" sheetId="7" r:id="rId7"/>
  </sheets>
  <definedNames>
    <definedName name="NativeTimeline_Date">#N/A</definedName>
    <definedName name="Slicer_PaymentMethod">#N/A</definedName>
    <definedName name="Slicer_ReferralSourc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A2" i="4"/>
  <c r="D2" i="4"/>
  <c r="C2" i="4"/>
</calcChain>
</file>

<file path=xl/sharedStrings.xml><?xml version="1.0" encoding="utf-8"?>
<sst xmlns="http://schemas.openxmlformats.org/spreadsheetml/2006/main" count="5414" uniqueCount="1226">
  <si>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</si>
  <si>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</si>
  <si>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</si>
  <si>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</si>
  <si>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</si>
  <si>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</si>
  <si>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</si>
  <si>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</si>
  <si>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</si>
  <si>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</si>
  <si>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</si>
  <si>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</si>
  <si>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</si>
  <si>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</si>
  <si>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</si>
  <si>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</si>
  <si>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</si>
  <si>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</si>
  <si>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</si>
  <si>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</si>
  <si>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</si>
  <si>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</si>
  <si>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</si>
  <si>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</si>
  <si>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</si>
  <si>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</si>
  <si>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</si>
  <si>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</si>
  <si>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</si>
  <si>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</si>
  <si>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</si>
  <si>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</si>
  <si>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</si>
  <si>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</si>
  <si>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</si>
  <si>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</si>
  <si>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</si>
  <si>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</si>
  <si>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</si>
  <si>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</si>
  <si>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</si>
  <si>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</si>
  <si>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</si>
  <si>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</si>
  <si>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</si>
  <si>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</si>
  <si>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</si>
  <si>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</si>
  <si>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</si>
  <si>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</si>
  <si>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</si>
  <si>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</si>
  <si>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</si>
  <si>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</si>
  <si>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</si>
  <si>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</si>
  <si>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</si>
  <si>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</si>
  <si>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</si>
  <si>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</si>
  <si>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</si>
  <si>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</si>
  <si>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</si>
  <si>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</si>
  <si>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</si>
  <si>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</si>
  <si>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</si>
  <si>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</si>
  <si>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</si>
  <si>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</si>
  <si>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</si>
  <si>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</si>
  <si>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</si>
  <si>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</si>
  <si>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</si>
  <si>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</si>
  <si>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</si>
  <si>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</si>
  <si>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</si>
  <si>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</si>
  <si>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</si>
  <si>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</si>
  <si>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</si>
  <si>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</si>
  <si>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</si>
  <si>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</si>
  <si>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</si>
  <si>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</si>
  <si>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</si>
  <si>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</si>
  <si>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</si>
  <si>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</si>
  <si>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</si>
  <si>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</si>
  <si>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</si>
  <si>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</si>
  <si>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</si>
  <si>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</si>
  <si>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</si>
  <si>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</si>
  <si>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</si>
  <si>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</si>
  <si>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</si>
  <si>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</si>
  <si>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</si>
  <si>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</si>
  <si>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</si>
  <si>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</si>
  <si>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</si>
  <si>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</si>
  <si>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</si>
  <si>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</si>
  <si>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</si>
  <si>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</si>
  <si>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</si>
  <si>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</si>
  <si>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</si>
  <si>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</si>
  <si>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</si>
  <si>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</si>
  <si>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</si>
  <si>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</si>
  <si>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</si>
  <si>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</si>
  <si>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</si>
  <si>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</si>
  <si>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</si>
  <si>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</si>
  <si>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</si>
  <si>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</si>
  <si>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</si>
  <si>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</si>
  <si>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</si>
  <si>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</si>
  <si>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</si>
  <si>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</si>
  <si>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</si>
  <si>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</si>
  <si>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</si>
  <si>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</si>
  <si>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</si>
  <si>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</si>
  <si>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</si>
  <si>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</si>
  <si>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</si>
  <si>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</si>
  <si>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</si>
  <si>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</si>
  <si>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</si>
  <si>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</si>
  <si>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</si>
  <si>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</si>
  <si>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</si>
  <si>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</si>
  <si>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</si>
  <si>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</si>
  <si>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</si>
  <si>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</si>
  <si>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</si>
  <si>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</si>
  <si>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</si>
  <si>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</si>
  <si>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</si>
  <si>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</si>
  <si>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</si>
  <si>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</si>
  <si>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</si>
  <si>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</si>
  <si>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</si>
  <si>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</si>
  <si>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</si>
  <si>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</si>
  <si>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</si>
  <si>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</si>
  <si>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</si>
  <si>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</si>
  <si>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</si>
  <si>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</si>
  <si>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</si>
  <si>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</si>
  <si>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</si>
  <si>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</si>
  <si>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</si>
  <si>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</si>
  <si>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</si>
  <si>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</si>
  <si>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</si>
  <si>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</si>
  <si>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</si>
  <si>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</si>
  <si>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</si>
  <si>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</si>
  <si>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</si>
  <si>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</si>
  <si>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</si>
  <si>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</si>
  <si>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</si>
  <si>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</si>
  <si>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</si>
  <si>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</si>
  <si>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</si>
  <si>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</si>
  <si>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</si>
  <si>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</si>
  <si>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</si>
  <si>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</si>
  <si>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</si>
  <si>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</si>
  <si>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</si>
  <si>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</si>
  <si>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</si>
  <si>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</si>
  <si>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</si>
  <si>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</si>
  <si>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</si>
  <si>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</si>
  <si>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</si>
  <si>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</si>
  <si>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</si>
  <si>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</si>
  <si>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</si>
  <si>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</si>
  <si>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</si>
  <si>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</si>
  <si>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</si>
  <si>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</si>
  <si>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</si>
  <si>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</si>
  <si>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</si>
  <si>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</si>
  <si>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</si>
  <si>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</si>
  <si>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</si>
  <si>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</si>
  <si>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</si>
  <si>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</si>
  <si>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</si>
  <si>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</si>
  <si>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</si>
  <si>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</si>
  <si>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</si>
  <si>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</si>
  <si>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</si>
  <si>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</si>
  <si>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</si>
  <si>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</si>
  <si>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</si>
  <si>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</si>
  <si>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</si>
  <si>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</si>
  <si>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</si>
  <si>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</si>
  <si>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</si>
  <si>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</si>
  <si>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</si>
  <si>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</si>
  <si>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</si>
  <si>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</si>
  <si>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</si>
  <si>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</si>
  <si>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</si>
  <si>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</si>
  <si>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</si>
  <si>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</si>
  <si>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</si>
  <si>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</si>
  <si>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</si>
  <si>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</si>
  <si>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</si>
  <si>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</si>
  <si>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</si>
  <si>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</si>
  <si>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</si>
  <si>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</si>
  <si>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</si>
  <si>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</si>
  <si>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</si>
  <si>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</si>
  <si>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</si>
  <si>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</si>
  <si>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</si>
  <si>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</si>
  <si>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</si>
  <si>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</si>
  <si>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</si>
  <si>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</si>
  <si>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</si>
  <si>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</si>
  <si>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</si>
  <si>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</si>
  <si>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</si>
  <si>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</si>
  <si>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</si>
  <si>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</si>
  <si>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</si>
  <si>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</si>
  <si>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</si>
  <si>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</si>
  <si>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</si>
  <si>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</si>
  <si>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</si>
  <si>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</si>
  <si>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</si>
  <si>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</si>
  <si>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</si>
  <si>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</si>
  <si>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</si>
  <si>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</si>
  <si>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</si>
  <si>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</si>
  <si>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</si>
  <si>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</si>
  <si>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</si>
  <si>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</si>
  <si>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</si>
  <si>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</si>
  <si>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</si>
  <si>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</si>
  <si>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</si>
  <si>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</si>
  <si>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</si>
  <si>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</si>
  <si>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</si>
  <si>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</si>
  <si>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</si>
  <si>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</si>
  <si>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</si>
  <si>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</si>
  <si>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</si>
  <si>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</si>
  <si>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</si>
  <si>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</si>
  <si>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</si>
  <si>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</si>
  <si>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</si>
  <si>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</si>
  <si>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</si>
  <si>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</si>
  <si>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</si>
  <si>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</si>
  <si>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</si>
  <si>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</si>
  <si>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</si>
  <si>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</si>
  <si>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</si>
  <si>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</si>
  <si>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</si>
  <si>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</si>
  <si>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</si>
  <si>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</si>
  <si>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</si>
  <si>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</si>
  <si>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</si>
  <si>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</si>
  <si>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</si>
  <si>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</si>
  <si>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</si>
  <si>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</si>
  <si>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</si>
  <si>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</si>
  <si>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</si>
  <si>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</si>
  <si>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</si>
  <si>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</si>
  <si>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</si>
  <si>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</si>
  <si>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</si>
  <si>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</si>
  <si>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</si>
  <si>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</si>
  <si>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</si>
  <si>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</si>
  <si>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</si>
  <si>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</si>
  <si>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</si>
  <si>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</si>
  <si>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</si>
  <si>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</si>
  <si>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</si>
  <si>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</si>
  <si>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</si>
  <si>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</si>
  <si>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</si>
  <si>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</si>
  <si>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</si>
  <si>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</si>
  <si>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</si>
  <si>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</si>
  <si>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</si>
  <si>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</si>
  <si>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</si>
  <si>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</si>
  <si>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</si>
  <si>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</si>
  <si>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</si>
  <si>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</si>
  <si>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</si>
  <si>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</si>
  <si>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</si>
  <si>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</si>
  <si>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</si>
  <si>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</si>
  <si>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</si>
  <si>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</si>
  <si>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</si>
  <si>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</si>
  <si>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</si>
  <si>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</si>
  <si>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</si>
  <si>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</si>
  <si>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</si>
  <si>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</si>
  <si>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</si>
  <si>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</si>
  <si>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</si>
  <si>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</si>
  <si>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</si>
  <si>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</si>
  <si>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</si>
  <si>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</si>
  <si>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</si>
  <si>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</si>
  <si>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</si>
  <si>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</si>
  <si>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</si>
  <si>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</si>
  <si>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</si>
  <si>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</si>
  <si>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</si>
  <si>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</si>
  <si>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</si>
  <si>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</si>
  <si>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</si>
  <si>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</si>
  <si>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</si>
  <si>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</si>
  <si>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</si>
  <si>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</si>
  <si>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</si>
  <si>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</si>
  <si>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</si>
  <si>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</si>
  <si>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</si>
  <si>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</si>
  <si>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</si>
  <si>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</si>
  <si>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</si>
  <si>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</si>
  <si>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</si>
  <si>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</si>
  <si>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</si>
  <si>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</si>
  <si>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</si>
  <si>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</si>
  <si>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</si>
  <si>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</si>
  <si>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</si>
  <si>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</si>
  <si>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</si>
  <si>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</si>
  <si>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</si>
  <si>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</si>
  <si>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</si>
  <si>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</si>
  <si>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</si>
  <si>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</si>
  <si>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</si>
  <si>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</si>
  <si>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</si>
  <si>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</si>
  <si>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</si>
  <si>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</si>
  <si>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</si>
  <si>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</si>
  <si>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</si>
  <si>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</si>
  <si>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</si>
  <si>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</si>
  <si>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</si>
  <si>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</si>
  <si>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</si>
  <si>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</si>
  <si>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</si>
  <si>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</si>
  <si>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</si>
  <si>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</si>
  <si>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</si>
  <si>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</si>
  <si>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</si>
  <si>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</si>
  <si>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</si>
  <si>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</si>
  <si>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</si>
  <si>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</si>
  <si>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</si>
  <si>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</si>
  <si>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</si>
  <si>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</si>
  <si>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</si>
  <si>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</si>
  <si>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</si>
  <si>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</si>
  <si>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</si>
  <si>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</si>
  <si>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</si>
  <si>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</si>
  <si>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</si>
  <si>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</si>
  <si>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</si>
  <si>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</si>
  <si>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</si>
  <si>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</si>
  <si>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</si>
  <si>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</si>
  <si>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</si>
  <si>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</si>
  <si>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</si>
  <si>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</si>
  <si>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</si>
  <si>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</si>
  <si>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</si>
  <si>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</si>
  <si>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</si>
  <si>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</si>
  <si>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</si>
  <si>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</si>
  <si>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</si>
  <si>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</si>
  <si>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</si>
  <si>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</si>
  <si>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</si>
  <si>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</si>
  <si>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</si>
  <si>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</si>
  <si>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</si>
  <si>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</si>
  <si>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</si>
  <si>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</si>
  <si>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</si>
  <si>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</si>
  <si>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</si>
  <si>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</si>
  <si>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</si>
  <si>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</si>
  <si>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</si>
  <si>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</si>
  <si>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</si>
  <si>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</si>
  <si>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</si>
  <si>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</si>
  <si>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</si>
  <si>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</si>
  <si>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</si>
  <si>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</si>
  <si>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</si>
  <si>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</si>
  <si>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</si>
  <si>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</si>
  <si>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</si>
  <si>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</si>
  <si>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</si>
  <si>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</si>
  <si>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</si>
  <si>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</si>
  <si>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</si>
  <si>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</si>
  <si>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</si>
  <si>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</si>
  <si>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</si>
  <si>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</si>
  <si>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</si>
  <si>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</si>
  <si>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</si>
  <si>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</si>
  <si>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</si>
  <si>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</si>
  <si>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</si>
  <si>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</si>
  <si>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</si>
  <si>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</si>
  <si>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</si>
  <si>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</si>
  <si>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</si>
  <si>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</si>
  <si>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</si>
  <si>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</si>
  <si>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</si>
  <si>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</si>
  <si>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</si>
  <si>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</si>
  <si>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</si>
  <si>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</si>
  <si>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</si>
  <si>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</si>
  <si>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</si>
  <si>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</si>
  <si>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</si>
  <si>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</si>
  <si>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</si>
  <si>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</si>
  <si>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</si>
  <si>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</si>
  <si>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</si>
  <si>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</si>
  <si>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</si>
  <si>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</si>
  <si>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</si>
  <si>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</si>
  <si>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</si>
  <si>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</si>
  <si>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</si>
  <si>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</si>
  <si>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</si>
  <si>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</si>
  <si>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</si>
  <si>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</si>
  <si>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</si>
  <si>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</si>
  <si>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</si>
  <si>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</si>
  <si>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</si>
  <si>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</si>
  <si>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</si>
  <si>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</si>
  <si>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</si>
  <si>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</si>
  <si>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</si>
  <si>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</si>
  <si>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</si>
  <si>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</si>
  <si>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</si>
  <si>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</si>
  <si>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</si>
  <si>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</si>
  <si>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</si>
  <si>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</si>
  <si>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</si>
  <si>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</si>
  <si>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</si>
  <si>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</si>
  <si>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</si>
  <si>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</si>
  <si>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</si>
  <si>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</si>
  <si>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</si>
  <si>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</si>
  <si>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</si>
  <si>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</si>
  <si>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</si>
  <si>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</si>
  <si>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</si>
  <si>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</si>
  <si>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</si>
  <si>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</si>
  <si>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</si>
  <si>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</si>
  <si>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</si>
  <si>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</si>
  <si>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</si>
  <si>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</si>
  <si>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</si>
  <si>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</si>
  <si>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</si>
  <si>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</si>
  <si>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</si>
  <si>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</si>
  <si>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</si>
  <si>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</si>
  <si>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</si>
  <si>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</si>
  <si>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</si>
  <si>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</si>
  <si>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</si>
  <si>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</si>
  <si>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</si>
  <si>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</si>
  <si>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</si>
  <si>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</si>
  <si>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</si>
  <si>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</si>
  <si>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</si>
  <si>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</si>
  <si>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</si>
  <si>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</si>
  <si>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</si>
  <si>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</si>
  <si>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</si>
  <si>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</si>
  <si>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</si>
  <si>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</si>
  <si>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</si>
  <si>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</si>
  <si>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</si>
  <si>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</si>
  <si>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</si>
  <si>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</si>
  <si>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</si>
  <si>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</si>
  <si>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</si>
  <si>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</si>
  <si>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</si>
  <si>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</si>
  <si>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</si>
  <si>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</si>
  <si>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</si>
  <si>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</si>
  <si>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</si>
  <si>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</si>
  <si>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</si>
  <si>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</si>
  <si>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</si>
  <si>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</si>
  <si>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</si>
  <si>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</si>
  <si>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</si>
  <si>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</si>
  <si>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</si>
  <si>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</si>
  <si>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</si>
  <si>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</si>
  <si>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</si>
  <si>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</si>
  <si>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</si>
  <si>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</si>
  <si>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</si>
  <si>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</si>
  <si>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</si>
  <si>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</si>
  <si>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</si>
  <si>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</si>
  <si>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</si>
  <si>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</si>
  <si>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</si>
  <si>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</si>
  <si>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</si>
  <si>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</si>
  <si>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</si>
  <si>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</si>
  <si>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</si>
  <si>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</si>
  <si>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</si>
  <si>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</si>
  <si>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</si>
  <si>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</si>
  <si>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</si>
  <si>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</si>
  <si>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</si>
  <si>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</si>
  <si>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</si>
  <si>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</si>
  <si>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</si>
  <si>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</si>
  <si>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</si>
  <si>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</si>
  <si>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</si>
  <si>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</si>
  <si>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</si>
  <si>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</si>
  <si>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</si>
  <si>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</si>
  <si>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</si>
  <si>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</si>
  <si>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</si>
  <si>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</si>
  <si>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</si>
  <si>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</si>
  <si>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</si>
  <si>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</si>
  <si>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</si>
  <si>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</si>
  <si>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</si>
  <si>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</si>
  <si>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</si>
  <si>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</si>
  <si>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</si>
  <si>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</si>
  <si>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</si>
  <si>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</si>
  <si>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</si>
  <si>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</si>
  <si>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</si>
  <si>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</si>
  <si>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</si>
  <si>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</si>
  <si>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</si>
  <si>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</si>
  <si>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</si>
  <si>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</si>
  <si>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</si>
  <si>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</si>
  <si>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</si>
  <si>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</si>
  <si>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</si>
  <si>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</si>
  <si>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</si>
  <si>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</si>
  <si>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</si>
  <si>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</si>
  <si>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</si>
  <si>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</si>
  <si>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</si>
  <si>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</si>
  <si>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</si>
  <si>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</si>
  <si>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</si>
  <si>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</si>
  <si>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</si>
  <si>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</si>
  <si>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</si>
  <si>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</si>
  <si>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</si>
  <si>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</si>
  <si>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</si>
  <si>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</si>
  <si>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</si>
  <si>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</si>
  <si>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</si>
  <si>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</si>
  <si>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</si>
  <si>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</si>
  <si>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</si>
  <si>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</si>
  <si>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</si>
  <si>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</si>
  <si>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</si>
  <si>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</si>
  <si>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</si>
  <si>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</si>
  <si>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</si>
  <si>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</si>
  <si>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</si>
  <si>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</si>
  <si>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</si>
  <si>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</si>
  <si>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</si>
  <si>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</si>
  <si>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</si>
  <si>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</si>
  <si>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</si>
  <si>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</si>
  <si>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</si>
  <si>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</si>
  <si>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</si>
  <si>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</si>
  <si>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</si>
  <si>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</si>
  <si>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</si>
  <si>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</si>
  <si>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</si>
  <si>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</si>
  <si>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</si>
  <si>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</si>
  <si>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</si>
  <si>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</si>
  <si>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</si>
  <si>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</si>
  <si>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</si>
  <si>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</si>
  <si>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</si>
  <si>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</si>
  <si>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</si>
  <si>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</si>
  <si>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</si>
  <si>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</si>
  <si>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</si>
  <si>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</si>
  <si>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</si>
  <si>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</si>
  <si>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</si>
  <si>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</si>
  <si>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</si>
  <si>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</si>
  <si>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</si>
  <si>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</si>
  <si>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</si>
  <si>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</si>
  <si>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</si>
  <si>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</si>
  <si>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</si>
  <si>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</si>
  <si>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</si>
  <si>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</si>
  <si>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</si>
  <si>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</si>
  <si>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</si>
  <si>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</si>
  <si>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</si>
  <si>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</si>
  <si>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</si>
  <si>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</si>
  <si>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</si>
  <si>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</si>
  <si>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</si>
  <si>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</si>
  <si>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</si>
  <si>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</si>
  <si>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</si>
  <si>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</si>
  <si>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</si>
  <si>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</si>
  <si>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</si>
  <si>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</si>
  <si>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</si>
  <si>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</si>
  <si>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</si>
  <si>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</si>
  <si>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</si>
  <si>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</si>
  <si>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</si>
  <si>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</si>
  <si>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</si>
  <si>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</si>
  <si>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</si>
  <si>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</si>
  <si>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</si>
  <si>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</si>
  <si>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</si>
  <si>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</si>
  <si>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</si>
  <si>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</si>
  <si>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</si>
  <si>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</si>
  <si>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</si>
  <si>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</si>
  <si>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</si>
  <si>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</si>
  <si>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</si>
  <si>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</si>
  <si>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</si>
  <si>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</si>
  <si>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</si>
  <si>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</si>
  <si>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</si>
  <si>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</si>
  <si>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</si>
  <si>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</si>
  <si>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</si>
  <si>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</si>
  <si>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</si>
  <si>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</si>
  <si>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</si>
  <si>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</si>
  <si>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</si>
  <si>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</si>
  <si>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</si>
  <si>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</si>
  <si>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</si>
  <si>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</si>
  <si>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</si>
  <si>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</si>
  <si>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</si>
  <si>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</si>
  <si>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</si>
  <si>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</si>
  <si>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</si>
  <si>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</si>
  <si>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</si>
  <si>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</si>
  <si>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</si>
  <si>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</si>
  <si>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</si>
  <si>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</si>
  <si>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</si>
  <si>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</si>
  <si>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</si>
  <si>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</si>
  <si>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</si>
  <si>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</si>
  <si>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</si>
  <si>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</si>
  <si>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</si>
  <si>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</si>
  <si>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</si>
  <si>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</si>
  <si>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</si>
  <si>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</si>
  <si>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</si>
  <si>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</si>
  <si>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</si>
  <si>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</si>
  <si>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</si>
  <si>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</si>
  <si>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</si>
  <si>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</si>
  <si>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</si>
  <si>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</si>
  <si>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</si>
  <si>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</si>
  <si>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</si>
  <si>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</si>
  <si>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</si>
  <si>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</si>
  <si>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</si>
  <si>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</si>
  <si>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</si>
  <si>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</si>
  <si>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</si>
  <si>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</si>
  <si>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</si>
  <si>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</si>
  <si>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</si>
  <si>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</si>
  <si>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</si>
  <si>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</si>
  <si>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</si>
  <si>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</si>
  <si>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</si>
  <si>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</si>
  <si>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</si>
  <si>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</si>
  <si>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</si>
  <si>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</si>
  <si>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</si>
  <si>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</si>
  <si>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</si>
  <si>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</si>
  <si>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</si>
  <si>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</si>
  <si>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</si>
  <si>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</si>
  <si>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</si>
  <si>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</si>
  <si>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</si>
  <si>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</si>
  <si>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</si>
  <si>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</si>
  <si>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</si>
  <si>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</si>
  <si>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</si>
  <si>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</si>
  <si>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</si>
  <si>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</si>
  <si>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</si>
  <si>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</si>
  <si>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</si>
  <si>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</si>
  <si>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</si>
  <si>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</si>
  <si>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</si>
  <si>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</si>
  <si>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</si>
  <si>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</si>
  <si>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</si>
  <si>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</si>
  <si>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</si>
  <si>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</si>
  <si>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</si>
  <si>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</si>
  <si>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</si>
  <si>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</si>
  <si>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</si>
  <si>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</si>
  <si>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</si>
  <si>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</si>
  <si>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</si>
  <si>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</si>
  <si>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</si>
  <si>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</si>
  <si>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</si>
  <si>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</si>
  <si>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</si>
  <si>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</si>
  <si>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</si>
  <si>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</si>
  <si>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</si>
  <si>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</si>
  <si>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</si>
  <si>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</si>
  <si>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</si>
  <si>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</si>
  <si>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</si>
  <si>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</si>
  <si>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</si>
  <si>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</si>
  <si>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</si>
  <si>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</si>
  <si>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</si>
  <si>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</si>
  <si>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</si>
  <si>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</si>
  <si>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</si>
  <si>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</si>
  <si>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</si>
  <si>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</si>
  <si>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</si>
  <si>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</si>
  <si>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</si>
  <si>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</si>
  <si>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</si>
  <si>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</si>
  <si>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</si>
  <si>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</si>
  <si>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</si>
  <si>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</si>
  <si>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</si>
  <si>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</si>
  <si>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</si>
  <si>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</si>
  <si>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</si>
  <si>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</si>
  <si>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</si>
  <si>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</si>
  <si>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</si>
  <si>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</si>
  <si>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</si>
  <si>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</si>
  <si>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</si>
  <si>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</si>
  <si>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</si>
  <si>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</si>
  <si>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</si>
  <si>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</si>
  <si>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</si>
  <si>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</si>
  <si>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</si>
  <si>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</si>
  <si>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</si>
  <si>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</si>
  <si>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</si>
  <si>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</si>
  <si>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</si>
  <si>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</si>
  <si>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</si>
  <si>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</si>
  <si>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</si>
  <si>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</si>
  <si>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</si>
  <si>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</si>
  <si>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</si>
  <si>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</si>
  <si>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</si>
  <si>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</si>
  <si>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</si>
  <si>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</si>
  <si>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</si>
  <si>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</si>
  <si>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</si>
  <si>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</si>
  <si>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</si>
  <si>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</si>
  <si>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</si>
  <si>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</si>
  <si>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</si>
  <si>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</si>
  <si>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</si>
  <si>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</si>
  <si>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</si>
  <si>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</si>
  <si>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</si>
  <si>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</si>
  <si>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</si>
  <si>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</si>
  <si>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</si>
  <si>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</si>
  <si>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</si>
  <si>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</si>
  <si>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</si>
  <si>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</si>
  <si>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</si>
  <si>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</si>
  <si>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</si>
  <si>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</si>
  <si>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</si>
  <si>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</si>
  <si>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</si>
  <si>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</si>
  <si>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</si>
  <si>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</si>
  <si>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</si>
  <si>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</si>
  <si>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</si>
  <si>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</si>
  <si>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</si>
  <si>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</si>
  <si>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</si>
  <si>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</si>
  <si>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</si>
  <si>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</si>
  <si>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</si>
  <si>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</si>
  <si>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</si>
  <si>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</si>
  <si>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</si>
  <si>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</si>
  <si>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</si>
  <si>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</si>
  <si>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</si>
  <si>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</si>
  <si>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</si>
  <si>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</si>
  <si>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</si>
  <si>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</si>
  <si>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None</t>
  </si>
  <si>
    <t>Row Labels</t>
  </si>
  <si>
    <t>Grand Total</t>
  </si>
  <si>
    <t>Sum of TotalPrice</t>
  </si>
  <si>
    <t>Count of OrderID</t>
  </si>
  <si>
    <t>Sum of Quantity</t>
  </si>
  <si>
    <t>Column Labels</t>
  </si>
  <si>
    <t>PROJECT DOCUMENTATION: SALES &amp; DATA ANALYTICS DASHBOARD</t>
  </si>
  <si>
    <t>Tab Order</t>
  </si>
  <si>
    <t>Sheet Name</t>
  </si>
  <si>
    <t>Purpose &amp; Content</t>
  </si>
  <si>
    <t>Documentation</t>
  </si>
  <si>
    <t>Dashboard</t>
  </si>
  <si>
    <t>Overview of workbook structure, naming conventions, and operating instructions.</t>
  </si>
  <si>
    <t>Interactive visual dashboard containing key charts, KPI summaries, Slicers, and Timeline controls.</t>
  </si>
  <si>
    <t>Visualization</t>
  </si>
  <si>
    <t>Individual standard charts and formatted data visuals.</t>
  </si>
  <si>
    <t>Pivot Tables summarizing product sales, order status breakdowns, and revenue by channel.</t>
  </si>
  <si>
    <t>Formulas</t>
  </si>
  <si>
    <t>Cleaned Data</t>
  </si>
  <si>
    <r>
      <t>Cleaned master raw dataset formatted as an official Excel Table (</t>
    </r>
    <r>
      <rPr>
        <sz val="10"/>
        <color theme="1"/>
        <rFont val="Arial Unicode MS"/>
      </rPr>
      <t>SalesData</t>
    </r>
    <r>
      <rPr>
        <sz val="11"/>
        <color theme="1"/>
        <rFont val="Aptos Narrow"/>
        <family val="2"/>
        <scheme val="minor"/>
      </rPr>
      <t>).</t>
    </r>
  </si>
  <si>
    <t>Raw Data</t>
  </si>
  <si>
    <r>
      <t xml:space="preserve">Include Sheet Organization, Naming Conventions, and User Instructions (with Data Table Purpose &amp; Content) in your new </t>
    </r>
    <r>
      <rPr>
        <sz val="10"/>
        <color theme="1"/>
        <rFont val="Arial Unicode MS"/>
      </rPr>
      <t>Documentation</t>
    </r>
    <r>
      <rPr>
        <sz val="11"/>
        <color theme="1"/>
        <rFont val="Aptos Narrow"/>
        <family val="2"/>
        <scheme val="minor"/>
      </rPr>
      <t xml:space="preserve"> sheet.</t>
    </r>
  </si>
  <si>
    <t>Pivot Table</t>
  </si>
  <si>
    <t>Custom calculations, lookups (VLOOKUP, INDEX-MATCH), and logic checks (IF, nested functions).</t>
  </si>
  <si>
    <t>SALES PERFORMANCE DASHBOARD</t>
  </si>
  <si>
    <t>Interactive Sales Analysis</t>
  </si>
  <si>
    <t>Unit Price for Order(Vlookup)</t>
  </si>
  <si>
    <t>Order Status by Customer ID(Index-Match)</t>
  </si>
  <si>
    <t>Discount Eligibility(If Conditions)</t>
  </si>
  <si>
    <t>Order Priority(Nested Functions)</t>
  </si>
  <si>
    <t>Sales by Product Category</t>
  </si>
  <si>
    <t>Sales Distribution by Region</t>
  </si>
  <si>
    <t>Sales Trend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</si>
</sst>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4009]\ #,##0.00"/>
    <numFmt numFmtId="166" formatCode="&quot;$&quot;#,##0.00"/>
    <numFmt numFmtId="167" formatCode="[$-409]d\-mmm\-yyyy;@"/>
  </numFmts>
  <fonts count="8">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
      <b/>
      <sz val="16"/>
      <color theme="1"/>
      <name val="Aptos Display"/>
      <family val="2"/>
      <scheme val="major"/>
    </font>
    <font>
      <b/>
      <sz val="22"/>
      <color theme="1"/>
      <name val="Aptos Display"/>
      <family val="2"/>
      <scheme val="major"/>
    </font>
    <font>
      <sz val="16"/>
      <color theme="1"/>
      <name val="Aptos Display"/>
      <family val="2"/>
      <scheme val="major"/>
    </font>
    <font>
      <sz val="20"/>
      <color theme="1"/>
      <name val="Aptos Display"/>
      <family val="2"/>
      <scheme val="major"/>
    </font>
  </fonts>
  <fills count="6">
    <fill>
      <patternFill patternType="none"/>
    </fill>
    <fill>
      <patternFill patternType="gray125"/>
    </fill>
    <fill>
      <patternFill patternType="solid">
        <fgColor rgb="FFF6C3FF"/>
        <bgColor indexed="64"/>
      </patternFill>
    </fill>
    <fill>
      <patternFill patternType="solid">
        <fgColor rgb="FFD4D4D4"/>
        <bgColor indexed="64"/>
      </patternFill>
    </fill>
    <fill>
      <patternFill patternType="solid">
        <fgColor rgb="FFA2A2A2"/>
        <bgColor indexed="64"/>
      </patternFill>
    </fill>
    <fill>
      <patternFill patternType="solid">
        <fgColor theme="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0" fillId="0" borderId="0" xfId="0" applyAlignment="1">
      <alignment horizontal="center" vertical="center"/>
    </xf>
    <xf numFmtId="0" fontId="1" fillId="0" borderId="2" xfId="0" applyFont="1" applyBorder="1" applyAlignment="1">
      <alignment horizontal="center" vertical="center"/>
    </xf>
    <xf numFmtId="0" fontId="0" fillId="0" borderId="1" xfId="0" applyBorder="1" applyAlignment="1">
      <alignment horizontal="center" vertical="center"/>
    </xf>
    <xf numFmtId="2" fontId="1" fillId="0" borderId="2" xfId="0" applyNumberFormat="1" applyFont="1" applyBorder="1" applyAlignment="1">
      <alignment horizontal="center" vertical="center"/>
    </xf>
    <xf numFmtId="2" fontId="0" fillId="0" borderId="0" xfId="0" applyNumberFormat="1" applyAlignment="1">
      <alignment horizontal="center" vertical="center"/>
    </xf>
    <xf numFmtId="165" fontId="1" fillId="0" borderId="2" xfId="0" applyNumberFormat="1" applyFont="1" applyBorder="1" applyAlignment="1">
      <alignment horizontal="center" vertical="center"/>
    </xf>
    <xf numFmtId="165" fontId="0" fillId="0" borderId="0" xfId="0" applyNumberFormat="1" applyAlignment="1">
      <alignment horizontal="center" vertical="center"/>
    </xf>
    <xf numFmtId="166" fontId="1" fillId="0" borderId="2" xfId="0" applyNumberFormat="1" applyFont="1" applyBorder="1" applyAlignment="1">
      <alignment horizontal="center" vertical="center"/>
    </xf>
    <xf numFmtId="166" fontId="0" fillId="0" borderId="0" xfId="0" applyNumberFormat="1"/>
    <xf numFmtId="0" fontId="0" fillId="0" borderId="0" xfId="0" pivotButton="1"/>
    <xf numFmtId="0" fontId="0" fillId="0" borderId="0" xfId="0" applyAlignment="1">
      <alignment horizontal="left"/>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166" fontId="0" fillId="0" borderId="5"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67" fontId="0" fillId="0" borderId="1" xfId="0" applyNumberFormat="1" applyBorder="1" applyAlignment="1">
      <alignment horizontal="center" vertical="center"/>
    </xf>
    <xf numFmtId="166" fontId="0" fillId="0" borderId="1" xfId="0" applyNumberForma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4" fillId="5" borderId="0" xfId="0" applyFont="1" applyFill="1" applyAlignment="1">
      <alignment horizontal="center" vertical="center"/>
    </xf>
    <xf numFmtId="0" fontId="6" fillId="5" borderId="0" xfId="0" applyFont="1" applyFill="1" applyAlignment="1">
      <alignment horizontal="center" vertical="center"/>
    </xf>
    <xf numFmtId="0" fontId="5"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applyNumberFormat="1"/>
    <xf numFmtId="0" fontId="0" fillId="0" borderId="0" xfId="0" pivotButton="1" applyFont="1"/>
    <xf numFmtId="0" fontId="0" fillId="0" borderId="0" xfId="0" applyFont="1"/>
    <xf numFmtId="0" fontId="0" fillId="0" borderId="0" xfId="0" applyFont="1" applyAlignment="1">
      <alignment horizontal="left"/>
    </xf>
    <xf numFmtId="166" fontId="0" fillId="0" borderId="0" xfId="0" applyNumberFormat="1" applyFont="1"/>
    <xf numFmtId="2" fontId="0" fillId="0" borderId="0" xfId="0" applyNumberFormat="1" applyFont="1"/>
    <xf numFmtId="0" fontId="0" fillId="0" borderId="0" xfId="0" applyNumberFormat="1" applyFont="1"/>
  </cellXfs>
  <cellStyles count="1">
    <cellStyle name="Normal" xfId="0" builtinId="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Aptos Narrow"/>
        <family val="2"/>
        <scheme val="minor"/>
      </font>
      <numFmt numFmtId="166"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66"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67" formatCode="[$-409]d\-m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auto="1"/>
        </top>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Aptos Narrow"/>
        <family val="2"/>
        <scheme val="minor"/>
      </font>
      <numFmt numFmtId="165" formatCode="[$₹-4009]\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65" formatCode="[$₹-4009]\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64"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auto="1"/>
        </top>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val="0"/>
      </font>
    </dxf>
    <dxf>
      <font>
        <b val="0"/>
      </font>
    </dxf>
    <dxf>
      <font>
        <b val="0"/>
      </font>
    </dxf>
    <dxf>
      <font>
        <b val="0"/>
      </font>
    </dxf>
    <dxf>
      <font>
        <b val="0"/>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'Cleaned Data'!$N$1</c:f>
              <c:strCache>
                <c:ptCount val="1"/>
                <c:pt idx="0">
                  <c:v>TotalPrice</c:v>
                </c:pt>
              </c:strCache>
            </c:strRef>
          </c:tx>
          <c:spPr>
            <a:solidFill>
              <a:schemeClr val="accent1"/>
            </a:solidFill>
            <a:ln>
              <a:noFill/>
            </a:ln>
            <a:effectLst/>
          </c:spPr>
          <c:invertIfNegative val="0"/>
          <c:cat>
            <c:strRef>
              <c:f>'Cleaned Data'!$D$2:$D$301</c:f>
              <c:strCache>
                <c:ptCount val="300"/>
                <c:pt idx="0">
                  <c:v>Monitor</c:v>
                </c:pt>
                <c:pt idx="1">
                  <c:v>Phone</c:v>
                </c:pt>
                <c:pt idx="2">
                  <c:v>Tablet</c:v>
                </c:pt>
                <c:pt idx="3">
                  <c:v>Chair</c:v>
                </c:pt>
                <c:pt idx="4">
                  <c:v>Printer</c:v>
                </c:pt>
                <c:pt idx="5">
                  <c:v>Phone</c:v>
                </c:pt>
                <c:pt idx="6">
                  <c:v>Laptop</c:v>
                </c:pt>
                <c:pt idx="7">
                  <c:v>Monitor</c:v>
                </c:pt>
                <c:pt idx="8">
                  <c:v>Phone</c:v>
                </c:pt>
                <c:pt idx="9">
                  <c:v>Desk</c:v>
                </c:pt>
                <c:pt idx="10">
                  <c:v>Tablet</c:v>
                </c:pt>
                <c:pt idx="11">
                  <c:v>Monitor</c:v>
                </c:pt>
                <c:pt idx="12">
                  <c:v>Monitor</c:v>
                </c:pt>
                <c:pt idx="13">
                  <c:v>Laptop</c:v>
                </c:pt>
                <c:pt idx="14">
                  <c:v>Tablet</c:v>
                </c:pt>
                <c:pt idx="15">
                  <c:v>Printer</c:v>
                </c:pt>
                <c:pt idx="16">
                  <c:v>Printer</c:v>
                </c:pt>
                <c:pt idx="17">
                  <c:v>Tablet</c:v>
                </c:pt>
                <c:pt idx="18">
                  <c:v>Desk</c:v>
                </c:pt>
                <c:pt idx="19">
                  <c:v>Monitor</c:v>
                </c:pt>
                <c:pt idx="20">
                  <c:v>Chair</c:v>
                </c:pt>
                <c:pt idx="21">
                  <c:v>Monitor</c:v>
                </c:pt>
                <c:pt idx="22">
                  <c:v>Monitor</c:v>
                </c:pt>
                <c:pt idx="23">
                  <c:v>Phone</c:v>
                </c:pt>
                <c:pt idx="24">
                  <c:v>Laptop</c:v>
                </c:pt>
                <c:pt idx="25">
                  <c:v>Monitor</c:v>
                </c:pt>
                <c:pt idx="26">
                  <c:v>Laptop</c:v>
                </c:pt>
                <c:pt idx="27">
                  <c:v>Printer</c:v>
                </c:pt>
                <c:pt idx="28">
                  <c:v>Phone</c:v>
                </c:pt>
                <c:pt idx="29">
                  <c:v>Desk</c:v>
                </c:pt>
                <c:pt idx="30">
                  <c:v>Monitor</c:v>
                </c:pt>
                <c:pt idx="31">
                  <c:v>Chair</c:v>
                </c:pt>
                <c:pt idx="32">
                  <c:v>Tablet</c:v>
                </c:pt>
                <c:pt idx="33">
                  <c:v>Chair</c:v>
                </c:pt>
                <c:pt idx="34">
                  <c:v>Chair</c:v>
                </c:pt>
                <c:pt idx="35">
                  <c:v>Monitor</c:v>
                </c:pt>
                <c:pt idx="36">
                  <c:v>Laptop</c:v>
                </c:pt>
                <c:pt idx="37">
                  <c:v>Laptop</c:v>
                </c:pt>
                <c:pt idx="38">
                  <c:v>Laptop</c:v>
                </c:pt>
                <c:pt idx="39">
                  <c:v>Printer</c:v>
                </c:pt>
                <c:pt idx="40">
                  <c:v>Desk</c:v>
                </c:pt>
                <c:pt idx="41">
                  <c:v>Monitor</c:v>
                </c:pt>
                <c:pt idx="42">
                  <c:v>Printer</c:v>
                </c:pt>
                <c:pt idx="43">
                  <c:v>Chair</c:v>
                </c:pt>
                <c:pt idx="44">
                  <c:v>Phone</c:v>
                </c:pt>
                <c:pt idx="45">
                  <c:v>Chair</c:v>
                </c:pt>
                <c:pt idx="46">
                  <c:v>Monitor</c:v>
                </c:pt>
                <c:pt idx="47">
                  <c:v>Desk</c:v>
                </c:pt>
                <c:pt idx="48">
                  <c:v>Monitor</c:v>
                </c:pt>
                <c:pt idx="49">
                  <c:v>Printer</c:v>
                </c:pt>
                <c:pt idx="50">
                  <c:v>Tablet</c:v>
                </c:pt>
                <c:pt idx="51">
                  <c:v>Tablet</c:v>
                </c:pt>
                <c:pt idx="52">
                  <c:v>Tablet</c:v>
                </c:pt>
                <c:pt idx="53">
                  <c:v>Phone</c:v>
                </c:pt>
                <c:pt idx="54">
                  <c:v>Chair</c:v>
                </c:pt>
                <c:pt idx="55">
                  <c:v>Printer</c:v>
                </c:pt>
                <c:pt idx="56">
                  <c:v>Tablet</c:v>
                </c:pt>
                <c:pt idx="57">
                  <c:v>Printer</c:v>
                </c:pt>
                <c:pt idx="58">
                  <c:v>Phone</c:v>
                </c:pt>
                <c:pt idx="59">
                  <c:v>Chair</c:v>
                </c:pt>
                <c:pt idx="60">
                  <c:v>Desk</c:v>
                </c:pt>
                <c:pt idx="61">
                  <c:v>Desk</c:v>
                </c:pt>
                <c:pt idx="62">
                  <c:v>Desk</c:v>
                </c:pt>
                <c:pt idx="63">
                  <c:v>Chair</c:v>
                </c:pt>
                <c:pt idx="64">
                  <c:v>Printer</c:v>
                </c:pt>
                <c:pt idx="65">
                  <c:v>Monitor</c:v>
                </c:pt>
                <c:pt idx="66">
                  <c:v>Chair</c:v>
                </c:pt>
                <c:pt idx="67">
                  <c:v>Printer</c:v>
                </c:pt>
                <c:pt idx="68">
                  <c:v>Chair</c:v>
                </c:pt>
                <c:pt idx="69">
                  <c:v>Monitor</c:v>
                </c:pt>
                <c:pt idx="70">
                  <c:v>Desk</c:v>
                </c:pt>
                <c:pt idx="71">
                  <c:v>Monitor</c:v>
                </c:pt>
                <c:pt idx="72">
                  <c:v>Tablet</c:v>
                </c:pt>
                <c:pt idx="73">
                  <c:v>Monitor</c:v>
                </c:pt>
                <c:pt idx="74">
                  <c:v>Phone</c:v>
                </c:pt>
                <c:pt idx="75">
                  <c:v>Tablet</c:v>
                </c:pt>
                <c:pt idx="76">
                  <c:v>Laptop</c:v>
                </c:pt>
                <c:pt idx="77">
                  <c:v>Phone</c:v>
                </c:pt>
                <c:pt idx="78">
                  <c:v>Printer</c:v>
                </c:pt>
                <c:pt idx="79">
                  <c:v>Tablet</c:v>
                </c:pt>
                <c:pt idx="80">
                  <c:v>Phone</c:v>
                </c:pt>
                <c:pt idx="81">
                  <c:v>Monitor</c:v>
                </c:pt>
                <c:pt idx="82">
                  <c:v>Tablet</c:v>
                </c:pt>
                <c:pt idx="83">
                  <c:v>Laptop</c:v>
                </c:pt>
                <c:pt idx="84">
                  <c:v>Monitor</c:v>
                </c:pt>
                <c:pt idx="85">
                  <c:v>Tablet</c:v>
                </c:pt>
                <c:pt idx="86">
                  <c:v>Printer</c:v>
                </c:pt>
                <c:pt idx="87">
                  <c:v>Tablet</c:v>
                </c:pt>
                <c:pt idx="88">
                  <c:v>Desk</c:v>
                </c:pt>
                <c:pt idx="89">
                  <c:v>Printer</c:v>
                </c:pt>
                <c:pt idx="90">
                  <c:v>Chair</c:v>
                </c:pt>
                <c:pt idx="91">
                  <c:v>Laptop</c:v>
                </c:pt>
                <c:pt idx="92">
                  <c:v>Printer</c:v>
                </c:pt>
                <c:pt idx="93">
                  <c:v>Desk</c:v>
                </c:pt>
                <c:pt idx="94">
                  <c:v>Chair</c:v>
                </c:pt>
                <c:pt idx="95">
                  <c:v>Printer</c:v>
                </c:pt>
                <c:pt idx="96">
                  <c:v>Phone</c:v>
                </c:pt>
                <c:pt idx="97">
                  <c:v>Tablet</c:v>
                </c:pt>
                <c:pt idx="98">
                  <c:v>Printer</c:v>
                </c:pt>
                <c:pt idx="99">
                  <c:v>Printer</c:v>
                </c:pt>
                <c:pt idx="100">
                  <c:v>Phone</c:v>
                </c:pt>
                <c:pt idx="101">
                  <c:v>Printer</c:v>
                </c:pt>
                <c:pt idx="102">
                  <c:v>Laptop</c:v>
                </c:pt>
                <c:pt idx="103">
                  <c:v>Phone</c:v>
                </c:pt>
                <c:pt idx="104">
                  <c:v>Phone</c:v>
                </c:pt>
                <c:pt idx="105">
                  <c:v>Printer</c:v>
                </c:pt>
                <c:pt idx="106">
                  <c:v>Desk</c:v>
                </c:pt>
                <c:pt idx="107">
                  <c:v>Printer</c:v>
                </c:pt>
                <c:pt idx="108">
                  <c:v>Laptop</c:v>
                </c:pt>
                <c:pt idx="109">
                  <c:v>Desk</c:v>
                </c:pt>
                <c:pt idx="110">
                  <c:v>Tablet</c:v>
                </c:pt>
                <c:pt idx="111">
                  <c:v>Desk</c:v>
                </c:pt>
                <c:pt idx="112">
                  <c:v>Monitor</c:v>
                </c:pt>
                <c:pt idx="113">
                  <c:v>Laptop</c:v>
                </c:pt>
                <c:pt idx="114">
                  <c:v>Monitor</c:v>
                </c:pt>
                <c:pt idx="115">
                  <c:v>Phone</c:v>
                </c:pt>
                <c:pt idx="116">
                  <c:v>Printer</c:v>
                </c:pt>
                <c:pt idx="117">
                  <c:v>Tablet</c:v>
                </c:pt>
                <c:pt idx="118">
                  <c:v>Printer</c:v>
                </c:pt>
                <c:pt idx="119">
                  <c:v>Desk</c:v>
                </c:pt>
                <c:pt idx="120">
                  <c:v>Tablet</c:v>
                </c:pt>
                <c:pt idx="121">
                  <c:v>Desk</c:v>
                </c:pt>
                <c:pt idx="122">
                  <c:v>Laptop</c:v>
                </c:pt>
                <c:pt idx="123">
                  <c:v>Desk</c:v>
                </c:pt>
                <c:pt idx="124">
                  <c:v>Printer</c:v>
                </c:pt>
                <c:pt idx="125">
                  <c:v>Phone</c:v>
                </c:pt>
                <c:pt idx="126">
                  <c:v>Desk</c:v>
                </c:pt>
                <c:pt idx="127">
                  <c:v>Desk</c:v>
                </c:pt>
                <c:pt idx="128">
                  <c:v>Tablet</c:v>
                </c:pt>
                <c:pt idx="129">
                  <c:v>Laptop</c:v>
                </c:pt>
                <c:pt idx="130">
                  <c:v>Desk</c:v>
                </c:pt>
                <c:pt idx="131">
                  <c:v>Tablet</c:v>
                </c:pt>
                <c:pt idx="132">
                  <c:v>Tablet</c:v>
                </c:pt>
                <c:pt idx="133">
                  <c:v>Chair</c:v>
                </c:pt>
                <c:pt idx="134">
                  <c:v>Laptop</c:v>
                </c:pt>
                <c:pt idx="135">
                  <c:v>Printer</c:v>
                </c:pt>
                <c:pt idx="136">
                  <c:v>Laptop</c:v>
                </c:pt>
                <c:pt idx="137">
                  <c:v>Monitor</c:v>
                </c:pt>
                <c:pt idx="138">
                  <c:v>Tablet</c:v>
                </c:pt>
                <c:pt idx="139">
                  <c:v>Phone</c:v>
                </c:pt>
                <c:pt idx="140">
                  <c:v>Chair</c:v>
                </c:pt>
                <c:pt idx="141">
                  <c:v>Printer</c:v>
                </c:pt>
                <c:pt idx="142">
                  <c:v>Desk</c:v>
                </c:pt>
                <c:pt idx="143">
                  <c:v>Chair</c:v>
                </c:pt>
                <c:pt idx="144">
                  <c:v>Desk</c:v>
                </c:pt>
                <c:pt idx="145">
                  <c:v>Printer</c:v>
                </c:pt>
                <c:pt idx="146">
                  <c:v>Tablet</c:v>
                </c:pt>
                <c:pt idx="147">
                  <c:v>Laptop</c:v>
                </c:pt>
                <c:pt idx="148">
                  <c:v>Phone</c:v>
                </c:pt>
                <c:pt idx="149">
                  <c:v>Laptop</c:v>
                </c:pt>
                <c:pt idx="150">
                  <c:v>Phone</c:v>
                </c:pt>
                <c:pt idx="151">
                  <c:v>Printer</c:v>
                </c:pt>
                <c:pt idx="152">
                  <c:v>Chair</c:v>
                </c:pt>
                <c:pt idx="153">
                  <c:v>Chair</c:v>
                </c:pt>
                <c:pt idx="154">
                  <c:v>Phone</c:v>
                </c:pt>
                <c:pt idx="155">
                  <c:v>Phone</c:v>
                </c:pt>
                <c:pt idx="156">
                  <c:v>Chair</c:v>
                </c:pt>
                <c:pt idx="157">
                  <c:v>Monitor</c:v>
                </c:pt>
                <c:pt idx="158">
                  <c:v>Tablet</c:v>
                </c:pt>
                <c:pt idx="159">
                  <c:v>Printer</c:v>
                </c:pt>
                <c:pt idx="160">
                  <c:v>Monitor</c:v>
                </c:pt>
                <c:pt idx="161">
                  <c:v>Monitor</c:v>
                </c:pt>
                <c:pt idx="162">
                  <c:v>Chair</c:v>
                </c:pt>
                <c:pt idx="163">
                  <c:v>Tablet</c:v>
                </c:pt>
                <c:pt idx="164">
                  <c:v>Desk</c:v>
                </c:pt>
                <c:pt idx="165">
                  <c:v>Monitor</c:v>
                </c:pt>
                <c:pt idx="166">
                  <c:v>Chair</c:v>
                </c:pt>
                <c:pt idx="167">
                  <c:v>Chair</c:v>
                </c:pt>
                <c:pt idx="168">
                  <c:v>Printer</c:v>
                </c:pt>
                <c:pt idx="169">
                  <c:v>Printer</c:v>
                </c:pt>
                <c:pt idx="170">
                  <c:v>Desk</c:v>
                </c:pt>
                <c:pt idx="171">
                  <c:v>Tablet</c:v>
                </c:pt>
                <c:pt idx="172">
                  <c:v>Printer</c:v>
                </c:pt>
                <c:pt idx="173">
                  <c:v>Phone</c:v>
                </c:pt>
                <c:pt idx="174">
                  <c:v>Printer</c:v>
                </c:pt>
                <c:pt idx="175">
                  <c:v>Chair</c:v>
                </c:pt>
                <c:pt idx="176">
                  <c:v>Tablet</c:v>
                </c:pt>
                <c:pt idx="177">
                  <c:v>Chair</c:v>
                </c:pt>
                <c:pt idx="178">
                  <c:v>Chair</c:v>
                </c:pt>
                <c:pt idx="179">
                  <c:v>Laptop</c:v>
                </c:pt>
                <c:pt idx="180">
                  <c:v>Tablet</c:v>
                </c:pt>
                <c:pt idx="181">
                  <c:v>Printer</c:v>
                </c:pt>
                <c:pt idx="182">
                  <c:v>Desk</c:v>
                </c:pt>
                <c:pt idx="183">
                  <c:v>Monitor</c:v>
                </c:pt>
                <c:pt idx="184">
                  <c:v>Tablet</c:v>
                </c:pt>
                <c:pt idx="185">
                  <c:v>Laptop</c:v>
                </c:pt>
                <c:pt idx="186">
                  <c:v>Phone</c:v>
                </c:pt>
                <c:pt idx="187">
                  <c:v>Chair</c:v>
                </c:pt>
                <c:pt idx="188">
                  <c:v>Chair</c:v>
                </c:pt>
                <c:pt idx="189">
                  <c:v>Printer</c:v>
                </c:pt>
                <c:pt idx="190">
                  <c:v>Printer</c:v>
                </c:pt>
                <c:pt idx="191">
                  <c:v>Laptop</c:v>
                </c:pt>
                <c:pt idx="192">
                  <c:v>Desk</c:v>
                </c:pt>
                <c:pt idx="193">
                  <c:v>Printer</c:v>
                </c:pt>
                <c:pt idx="194">
                  <c:v>Monitor</c:v>
                </c:pt>
                <c:pt idx="195">
                  <c:v>Chair</c:v>
                </c:pt>
                <c:pt idx="196">
                  <c:v>Desk</c:v>
                </c:pt>
                <c:pt idx="197">
                  <c:v>Laptop</c:v>
                </c:pt>
                <c:pt idx="198">
                  <c:v>Laptop</c:v>
                </c:pt>
                <c:pt idx="199">
                  <c:v>Phone</c:v>
                </c:pt>
                <c:pt idx="200">
                  <c:v>Tablet</c:v>
                </c:pt>
                <c:pt idx="201">
                  <c:v>Monitor</c:v>
                </c:pt>
                <c:pt idx="202">
                  <c:v>Monitor</c:v>
                </c:pt>
                <c:pt idx="203">
                  <c:v>Printer</c:v>
                </c:pt>
                <c:pt idx="204">
                  <c:v>Laptop</c:v>
                </c:pt>
                <c:pt idx="205">
                  <c:v>Desk</c:v>
                </c:pt>
                <c:pt idx="206">
                  <c:v>Laptop</c:v>
                </c:pt>
                <c:pt idx="207">
                  <c:v>Phone</c:v>
                </c:pt>
                <c:pt idx="208">
                  <c:v>Desk</c:v>
                </c:pt>
                <c:pt idx="209">
                  <c:v>Tablet</c:v>
                </c:pt>
                <c:pt idx="210">
                  <c:v>Chair</c:v>
                </c:pt>
                <c:pt idx="211">
                  <c:v>Printer</c:v>
                </c:pt>
                <c:pt idx="212">
                  <c:v>Monitor</c:v>
                </c:pt>
                <c:pt idx="213">
                  <c:v>Laptop</c:v>
                </c:pt>
                <c:pt idx="214">
                  <c:v>Desk</c:v>
                </c:pt>
                <c:pt idx="215">
                  <c:v>Printer</c:v>
                </c:pt>
                <c:pt idx="216">
                  <c:v>Monitor</c:v>
                </c:pt>
                <c:pt idx="217">
                  <c:v>Desk</c:v>
                </c:pt>
                <c:pt idx="218">
                  <c:v>Tablet</c:v>
                </c:pt>
                <c:pt idx="219">
                  <c:v>Laptop</c:v>
                </c:pt>
                <c:pt idx="220">
                  <c:v>Laptop</c:v>
                </c:pt>
                <c:pt idx="221">
                  <c:v>Tablet</c:v>
                </c:pt>
                <c:pt idx="222">
                  <c:v>Chair</c:v>
                </c:pt>
                <c:pt idx="223">
                  <c:v>Phone</c:v>
                </c:pt>
                <c:pt idx="224">
                  <c:v>Printer</c:v>
                </c:pt>
                <c:pt idx="225">
                  <c:v>Phone</c:v>
                </c:pt>
                <c:pt idx="226">
                  <c:v>Desk</c:v>
                </c:pt>
                <c:pt idx="227">
                  <c:v>Monitor</c:v>
                </c:pt>
                <c:pt idx="228">
                  <c:v>Chair</c:v>
                </c:pt>
                <c:pt idx="229">
                  <c:v>Tablet</c:v>
                </c:pt>
                <c:pt idx="230">
                  <c:v>Desk</c:v>
                </c:pt>
                <c:pt idx="231">
                  <c:v>Phone</c:v>
                </c:pt>
                <c:pt idx="232">
                  <c:v>Printer</c:v>
                </c:pt>
                <c:pt idx="233">
                  <c:v>Phone</c:v>
                </c:pt>
                <c:pt idx="234">
                  <c:v>Printer</c:v>
                </c:pt>
                <c:pt idx="235">
                  <c:v>Desk</c:v>
                </c:pt>
                <c:pt idx="236">
                  <c:v>Monitor</c:v>
                </c:pt>
                <c:pt idx="237">
                  <c:v>Monitor</c:v>
                </c:pt>
                <c:pt idx="238">
                  <c:v>Desk</c:v>
                </c:pt>
                <c:pt idx="239">
                  <c:v>Tablet</c:v>
                </c:pt>
                <c:pt idx="240">
                  <c:v>Tablet</c:v>
                </c:pt>
                <c:pt idx="241">
                  <c:v>Chair</c:v>
                </c:pt>
                <c:pt idx="242">
                  <c:v>Printer</c:v>
                </c:pt>
                <c:pt idx="243">
                  <c:v>Chair</c:v>
                </c:pt>
                <c:pt idx="244">
                  <c:v>Desk</c:v>
                </c:pt>
                <c:pt idx="245">
                  <c:v>Laptop</c:v>
                </c:pt>
                <c:pt idx="246">
                  <c:v>Desk</c:v>
                </c:pt>
                <c:pt idx="247">
                  <c:v>Printer</c:v>
                </c:pt>
                <c:pt idx="248">
                  <c:v>Laptop</c:v>
                </c:pt>
                <c:pt idx="249">
                  <c:v>Printer</c:v>
                </c:pt>
                <c:pt idx="250">
                  <c:v>Desk</c:v>
                </c:pt>
                <c:pt idx="251">
                  <c:v>Monitor</c:v>
                </c:pt>
                <c:pt idx="252">
                  <c:v>Phone</c:v>
                </c:pt>
                <c:pt idx="253">
                  <c:v>Chair</c:v>
                </c:pt>
                <c:pt idx="254">
                  <c:v>Monitor</c:v>
                </c:pt>
                <c:pt idx="255">
                  <c:v>Monitor</c:v>
                </c:pt>
                <c:pt idx="256">
                  <c:v>Chair</c:v>
                </c:pt>
                <c:pt idx="257">
                  <c:v>Phone</c:v>
                </c:pt>
                <c:pt idx="258">
                  <c:v>Tablet</c:v>
                </c:pt>
                <c:pt idx="259">
                  <c:v>Chair</c:v>
                </c:pt>
                <c:pt idx="260">
                  <c:v>Monitor</c:v>
                </c:pt>
                <c:pt idx="261">
                  <c:v>Phone</c:v>
                </c:pt>
                <c:pt idx="262">
                  <c:v>Phone</c:v>
                </c:pt>
                <c:pt idx="263">
                  <c:v>Phone</c:v>
                </c:pt>
                <c:pt idx="264">
                  <c:v>Tablet</c:v>
                </c:pt>
                <c:pt idx="265">
                  <c:v>Printer</c:v>
                </c:pt>
                <c:pt idx="266">
                  <c:v>Chair</c:v>
                </c:pt>
                <c:pt idx="267">
                  <c:v>Chair</c:v>
                </c:pt>
                <c:pt idx="268">
                  <c:v>Phone</c:v>
                </c:pt>
                <c:pt idx="269">
                  <c:v>Tablet</c:v>
                </c:pt>
                <c:pt idx="270">
                  <c:v>Printer</c:v>
                </c:pt>
                <c:pt idx="271">
                  <c:v>Monitor</c:v>
                </c:pt>
                <c:pt idx="272">
                  <c:v>Chair</c:v>
                </c:pt>
                <c:pt idx="273">
                  <c:v>Tablet</c:v>
                </c:pt>
                <c:pt idx="274">
                  <c:v>Phone</c:v>
                </c:pt>
                <c:pt idx="275">
                  <c:v>Chair</c:v>
                </c:pt>
                <c:pt idx="276">
                  <c:v>Printer</c:v>
                </c:pt>
                <c:pt idx="277">
                  <c:v>Chair</c:v>
                </c:pt>
                <c:pt idx="278">
                  <c:v>Laptop</c:v>
                </c:pt>
                <c:pt idx="279">
                  <c:v>Chair</c:v>
                </c:pt>
                <c:pt idx="280">
                  <c:v>Tablet</c:v>
                </c:pt>
                <c:pt idx="281">
                  <c:v>Desk</c:v>
                </c:pt>
                <c:pt idx="282">
                  <c:v>Printer</c:v>
                </c:pt>
                <c:pt idx="283">
                  <c:v>Laptop</c:v>
                </c:pt>
                <c:pt idx="284">
                  <c:v>Laptop</c:v>
                </c:pt>
                <c:pt idx="285">
                  <c:v>Phone</c:v>
                </c:pt>
                <c:pt idx="286">
                  <c:v>Monitor</c:v>
                </c:pt>
                <c:pt idx="287">
                  <c:v>Chair</c:v>
                </c:pt>
                <c:pt idx="288">
                  <c:v>Laptop</c:v>
                </c:pt>
                <c:pt idx="289">
                  <c:v>Chair</c:v>
                </c:pt>
                <c:pt idx="290">
                  <c:v>Chair</c:v>
                </c:pt>
                <c:pt idx="291">
                  <c:v>Phone</c:v>
                </c:pt>
                <c:pt idx="292">
                  <c:v>Monitor</c:v>
                </c:pt>
                <c:pt idx="293">
                  <c:v>Tablet</c:v>
                </c:pt>
                <c:pt idx="294">
                  <c:v>Phone</c:v>
                </c:pt>
                <c:pt idx="295">
                  <c:v>Printer</c:v>
                </c:pt>
                <c:pt idx="296">
                  <c:v>Desk</c:v>
                </c:pt>
                <c:pt idx="297">
                  <c:v>Desk</c:v>
                </c:pt>
                <c:pt idx="298">
                  <c:v>Printer</c:v>
                </c:pt>
                <c:pt idx="299">
                  <c:v>Monitor</c:v>
                </c:pt>
              </c:strCache>
            </c:strRef>
          </c:cat>
          <c:val>
            <c:numRef>
              <c:f>'Cleaned Data'!$N$2:$N$301</c:f>
              <c:numCache>
                <c:formatCode>"$"#,##0.00</c:formatCode>
                <c:ptCount val="3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numCache>
            </c:numRef>
          </c:val>
          <c:extLst>
            <c:ext xmlns:c16="http://schemas.microsoft.com/office/drawing/2014/chart" uri="{C3380CC4-5D6E-409C-BE32-E72D297353CC}">
              <c16:uniqueId val="{00000000-7442-4F94-A946-9A9C978525F5}"/>
            </c:ext>
          </c:extLst>
        </c:ser>
        <c:dLbls>
          <c:showLegendKey val="0"/>
          <c:showVal val="0"/>
          <c:showCatName val="0"/>
          <c:showSerName val="0"/>
          <c:showPercent val="0"/>
          <c:showBubbleSize val="0"/>
        </c:dLbls>
        <c:gapWidth val="219"/>
        <c:overlap val="-27"/>
        <c:axId val="1433338095"/>
        <c:axId val="1221626719"/>
      </c:barChart>
      <c:catAx>
        <c:axId val="143333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26719"/>
        <c:crosses val="autoZero"/>
        <c:auto val="1"/>
        <c:lblAlgn val="ctr"/>
        <c:lblOffset val="100"/>
        <c:noMultiLvlLbl val="0"/>
      </c:catAx>
      <c:valAx>
        <c:axId val="1221626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3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[SarthThakar_ExcelDashboard.xlsx]Pivot Table!OrderStatus</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s>
    <c:plotArea>
      <c:layout/>
      <c:pieChart>
        <c:varyColors val="1"/>
        <c:ser>
          <c:idx val="0"/>
          <c:order val="0"/>
          <c:tx>
            <c:strRef>
              <c:f>'Pivot Table'!$G$3</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33-4FE0-A62B-59BA89878A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33-4FE0-A62B-59BA89878A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33-4FE0-A62B-59BA89878A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33-4FE0-A62B-59BA89878A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33-4FE0-A62B-59BA89878A51}"/>
              </c:ext>
            </c:extLst>
          </c:dPt>
          <c:cat>
            <c:strRef>
              <c:f>'Pivot Table'!$F$4:$F$9</c:f>
              <c:strCache>
                <c:ptCount val="5"/>
                <c:pt idx="0">
                  <c:v>Cancelled</c:v>
                </c:pt>
                <c:pt idx="1">
                  <c:v>Delivered</c:v>
                </c:pt>
                <c:pt idx="2">
                  <c:v>Pending</c:v>
                </c:pt>
                <c:pt idx="3">
                  <c:v>Returned</c:v>
                </c:pt>
                <c:pt idx="4">
                  <c:v>Shipped</c:v>
                </c:pt>
              </c:strCache>
            </c:strRef>
          </c:cat>
          <c:val>
            <c:numRef>
              <c:f>'Pivot Table'!$G$4:$G$9</c:f>
              <c:numCache>
                <c:formatCode>General</c:formatCode>
                <c:ptCount val="5"/>
                <c:pt idx="0">
                  <c:v>73</c:v>
                </c:pt>
                <c:pt idx="1">
                  <c:v>58</c:v>
                </c:pt>
                <c:pt idx="2">
                  <c:v>56</c:v>
                </c:pt>
                <c:pt idx="3">
                  <c:v>54</c:v>
                </c:pt>
                <c:pt idx="4">
                  <c:v>59</c:v>
                </c:pt>
              </c:numCache>
            </c:numRef>
          </c:val>
          <c:extLst>
            <c:ext xmlns:c16="http://schemas.microsoft.com/office/drawing/2014/chart" uri="{C3380CC4-5D6E-409C-BE32-E72D297353CC}">
              <c16:uniqueId val="{0000000A-A733-4FE0-A62B-59BA89878A51}"/>
            </c:ext>
          </c:extLst>
        </c:ser>
        <c:ser>
          <c:idx val="1"/>
          <c:order val="1"/>
          <c:tx>
            <c:strRef>
              <c:f>'Pivot Table'!$H$3</c:f>
              <c:strCache>
                <c:ptCount val="1"/>
                <c:pt idx="0">
                  <c:v>Sum of TotalPrice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A733-4FE0-A62B-59BA89878A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A733-4FE0-A62B-59BA89878A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A733-4FE0-A62B-59BA89878A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A733-4FE0-A62B-59BA89878A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A733-4FE0-A62B-59BA89878A51}"/>
              </c:ext>
            </c:extLst>
          </c:dPt>
          <c:cat>
            <c:strRef>
              <c:f>'Pivot Table'!$F$4:$F$9</c:f>
              <c:strCache>
                <c:ptCount val="5"/>
                <c:pt idx="0">
                  <c:v>Cancelled</c:v>
                </c:pt>
                <c:pt idx="1">
                  <c:v>Delivered</c:v>
                </c:pt>
                <c:pt idx="2">
                  <c:v>Pending</c:v>
                </c:pt>
                <c:pt idx="3">
                  <c:v>Returned</c:v>
                </c:pt>
                <c:pt idx="4">
                  <c:v>Shipped</c:v>
                </c:pt>
              </c:strCache>
            </c:strRef>
          </c:cat>
          <c:val>
            <c:numRef>
              <c:f>'Pivot Table'!$H$4:$H$9</c:f>
              <c:numCache>
                <c:formatCode>"$"#,##0.00</c:formatCode>
                <c:ptCount val="5"/>
                <c:pt idx="0">
                  <c:v>77333.509999999995</c:v>
                </c:pt>
                <c:pt idx="1">
                  <c:v>52651.329999999994</c:v>
                </c:pt>
                <c:pt idx="2">
                  <c:v>59564.289999999979</c:v>
                </c:pt>
                <c:pt idx="3">
                  <c:v>51872.140000000007</c:v>
                </c:pt>
                <c:pt idx="4">
                  <c:v>65555.650000000009</c:v>
                </c:pt>
              </c:numCache>
            </c:numRef>
          </c:val>
          <c:extLst>
            <c:ext xmlns:c16="http://schemas.microsoft.com/office/drawing/2014/chart" uri="{C3380CC4-5D6E-409C-BE32-E72D297353CC}">
              <c16:uniqueId val="{00000015-A733-4FE0-A62B-59BA89878A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'Cleaned Data'!$B$2:$B$301</c:f>
              <c:numCache>
                <c:formatCode>[$-409]d\-mmm\-yyyy;@</c:formatCode>
                <c:ptCount val="300"/>
                <c:pt idx="0">
                  <c:v>44930</c:v>
                </c:pt>
                <c:pt idx="1">
                  <c:v>45527</c:v>
                </c:pt>
                <c:pt idx="2">
                  <c:v>45349</c:v>
                </c:pt>
                <c:pt idx="3">
                  <c:v>45214</c:v>
                </c:pt>
                <c:pt idx="4">
                  <c:v>45785</c:v>
                </c:pt>
                <c:pt idx="5">
                  <c:v>45222</c:v>
                </c:pt>
                <c:pt idx="6">
                  <c:v>45825</c:v>
                </c:pt>
                <c:pt idx="7">
                  <c:v>45058</c:v>
                </c:pt>
                <c:pt idx="8">
                  <c:v>45749</c:v>
                </c:pt>
                <c:pt idx="9">
                  <c:v>45251</c:v>
                </c:pt>
                <c:pt idx="10">
                  <c:v>45289</c:v>
                </c:pt>
                <c:pt idx="11">
                  <c:v>45339</c:v>
                </c:pt>
                <c:pt idx="12">
                  <c:v>45580</c:v>
                </c:pt>
                <c:pt idx="13">
                  <c:v>45168</c:v>
                </c:pt>
                <c:pt idx="14">
                  <c:v>45012</c:v>
                </c:pt>
                <c:pt idx="15">
                  <c:v>45124</c:v>
                </c:pt>
                <c:pt idx="16">
                  <c:v>44950</c:v>
                </c:pt>
                <c:pt idx="17">
                  <c:v>45353</c:v>
                </c:pt>
                <c:pt idx="18">
                  <c:v>45742</c:v>
                </c:pt>
                <c:pt idx="19">
                  <c:v>44949</c:v>
                </c:pt>
                <c:pt idx="20">
                  <c:v>45054</c:v>
                </c:pt>
                <c:pt idx="21">
                  <c:v>45613</c:v>
                </c:pt>
                <c:pt idx="22">
                  <c:v>44955</c:v>
                </c:pt>
                <c:pt idx="23">
                  <c:v>45756</c:v>
                </c:pt>
                <c:pt idx="24">
                  <c:v>45595</c:v>
                </c:pt>
                <c:pt idx="25">
                  <c:v>45497</c:v>
                </c:pt>
                <c:pt idx="26">
                  <c:v>45357</c:v>
                </c:pt>
                <c:pt idx="27">
                  <c:v>45344</c:v>
                </c:pt>
                <c:pt idx="28">
                  <c:v>45251</c:v>
                </c:pt>
                <c:pt idx="29">
                  <c:v>45555</c:v>
                </c:pt>
                <c:pt idx="30">
                  <c:v>45738</c:v>
                </c:pt>
                <c:pt idx="31">
                  <c:v>45107</c:v>
                </c:pt>
                <c:pt idx="32">
                  <c:v>45047</c:v>
                </c:pt>
                <c:pt idx="33">
                  <c:v>45082</c:v>
                </c:pt>
                <c:pt idx="34">
                  <c:v>44933</c:v>
                </c:pt>
                <c:pt idx="35">
                  <c:v>45633</c:v>
                </c:pt>
                <c:pt idx="36">
                  <c:v>45785</c:v>
                </c:pt>
                <c:pt idx="37">
                  <c:v>45579</c:v>
                </c:pt>
                <c:pt idx="38">
                  <c:v>45645</c:v>
                </c:pt>
                <c:pt idx="39">
                  <c:v>45715</c:v>
                </c:pt>
                <c:pt idx="40">
                  <c:v>45158</c:v>
                </c:pt>
                <c:pt idx="41">
                  <c:v>45265</c:v>
                </c:pt>
                <c:pt idx="42">
                  <c:v>45418</c:v>
                </c:pt>
                <c:pt idx="43">
                  <c:v>45274</c:v>
                </c:pt>
                <c:pt idx="44">
                  <c:v>45768</c:v>
                </c:pt>
                <c:pt idx="45">
                  <c:v>45332</c:v>
                </c:pt>
                <c:pt idx="46">
                  <c:v>45469</c:v>
                </c:pt>
                <c:pt idx="47">
                  <c:v>45126</c:v>
                </c:pt>
                <c:pt idx="48">
                  <c:v>45164</c:v>
                </c:pt>
                <c:pt idx="49">
                  <c:v>45206</c:v>
                </c:pt>
                <c:pt idx="50">
                  <c:v>45138</c:v>
                </c:pt>
                <c:pt idx="51">
                  <c:v>45656</c:v>
                </c:pt>
                <c:pt idx="52">
                  <c:v>45543</c:v>
                </c:pt>
                <c:pt idx="53">
                  <c:v>45430</c:v>
                </c:pt>
                <c:pt idx="54">
                  <c:v>45743</c:v>
                </c:pt>
                <c:pt idx="55">
                  <c:v>45832</c:v>
                </c:pt>
                <c:pt idx="56">
                  <c:v>45067</c:v>
                </c:pt>
                <c:pt idx="57">
                  <c:v>44948</c:v>
                </c:pt>
                <c:pt idx="58">
                  <c:v>44941</c:v>
                </c:pt>
                <c:pt idx="59">
                  <c:v>45546</c:v>
                </c:pt>
                <c:pt idx="60">
                  <c:v>45525</c:v>
                </c:pt>
                <c:pt idx="61">
                  <c:v>45375</c:v>
                </c:pt>
                <c:pt idx="62">
                  <c:v>45160</c:v>
                </c:pt>
                <c:pt idx="63">
                  <c:v>45690</c:v>
                </c:pt>
                <c:pt idx="64">
                  <c:v>45833</c:v>
                </c:pt>
                <c:pt idx="65">
                  <c:v>45290</c:v>
                </c:pt>
                <c:pt idx="66">
                  <c:v>45611</c:v>
                </c:pt>
                <c:pt idx="67">
                  <c:v>45635</c:v>
                </c:pt>
                <c:pt idx="68">
                  <c:v>45271</c:v>
                </c:pt>
                <c:pt idx="69">
                  <c:v>45057</c:v>
                </c:pt>
                <c:pt idx="70">
                  <c:v>45072</c:v>
                </c:pt>
                <c:pt idx="71">
                  <c:v>45818</c:v>
                </c:pt>
                <c:pt idx="72">
                  <c:v>45648</c:v>
                </c:pt>
                <c:pt idx="73">
                  <c:v>45049</c:v>
                </c:pt>
                <c:pt idx="74">
                  <c:v>45101</c:v>
                </c:pt>
                <c:pt idx="75">
                  <c:v>45195</c:v>
                </c:pt>
                <c:pt idx="76">
                  <c:v>45382</c:v>
                </c:pt>
                <c:pt idx="77">
                  <c:v>45436</c:v>
                </c:pt>
                <c:pt idx="78">
                  <c:v>45510</c:v>
                </c:pt>
                <c:pt idx="79">
                  <c:v>45726</c:v>
                </c:pt>
                <c:pt idx="80">
                  <c:v>45104</c:v>
                </c:pt>
                <c:pt idx="81">
                  <c:v>45085</c:v>
                </c:pt>
                <c:pt idx="82">
                  <c:v>45296</c:v>
                </c:pt>
                <c:pt idx="83">
                  <c:v>45160</c:v>
                </c:pt>
                <c:pt idx="84">
                  <c:v>45166</c:v>
                </c:pt>
                <c:pt idx="85">
                  <c:v>45544</c:v>
                </c:pt>
                <c:pt idx="86">
                  <c:v>45462</c:v>
                </c:pt>
                <c:pt idx="87">
                  <c:v>45575</c:v>
                </c:pt>
                <c:pt idx="88">
                  <c:v>45813</c:v>
                </c:pt>
                <c:pt idx="89">
                  <c:v>45713</c:v>
                </c:pt>
                <c:pt idx="90">
                  <c:v>45187</c:v>
                </c:pt>
                <c:pt idx="91">
                  <c:v>45000</c:v>
                </c:pt>
                <c:pt idx="92">
                  <c:v>45453</c:v>
                </c:pt>
                <c:pt idx="93">
                  <c:v>44940</c:v>
                </c:pt>
                <c:pt idx="94">
                  <c:v>44968</c:v>
                </c:pt>
                <c:pt idx="95">
                  <c:v>45009</c:v>
                </c:pt>
                <c:pt idx="96">
                  <c:v>45444</c:v>
                </c:pt>
                <c:pt idx="97">
                  <c:v>45678</c:v>
                </c:pt>
                <c:pt idx="98">
                  <c:v>44940</c:v>
                </c:pt>
                <c:pt idx="99">
                  <c:v>45759</c:v>
                </c:pt>
                <c:pt idx="100">
                  <c:v>44974</c:v>
                </c:pt>
                <c:pt idx="101">
                  <c:v>45255</c:v>
                </c:pt>
                <c:pt idx="102">
                  <c:v>44993</c:v>
                </c:pt>
                <c:pt idx="103">
                  <c:v>45682</c:v>
                </c:pt>
                <c:pt idx="104">
                  <c:v>45503</c:v>
                </c:pt>
                <c:pt idx="105">
                  <c:v>45589</c:v>
                </c:pt>
                <c:pt idx="106">
                  <c:v>45177</c:v>
                </c:pt>
                <c:pt idx="107">
                  <c:v>45012</c:v>
                </c:pt>
                <c:pt idx="108">
                  <c:v>45654</c:v>
                </c:pt>
                <c:pt idx="109">
                  <c:v>45186</c:v>
                </c:pt>
                <c:pt idx="110">
                  <c:v>45403</c:v>
                </c:pt>
                <c:pt idx="111">
                  <c:v>45784</c:v>
                </c:pt>
                <c:pt idx="112">
                  <c:v>44927</c:v>
                </c:pt>
                <c:pt idx="113">
                  <c:v>45308</c:v>
                </c:pt>
                <c:pt idx="114">
                  <c:v>45684</c:v>
                </c:pt>
                <c:pt idx="115">
                  <c:v>45257</c:v>
                </c:pt>
                <c:pt idx="116">
                  <c:v>45004</c:v>
                </c:pt>
                <c:pt idx="117">
                  <c:v>44993</c:v>
                </c:pt>
                <c:pt idx="118">
                  <c:v>45208</c:v>
                </c:pt>
                <c:pt idx="119">
                  <c:v>45819</c:v>
                </c:pt>
                <c:pt idx="120">
                  <c:v>45027</c:v>
                </c:pt>
                <c:pt idx="121">
                  <c:v>45260</c:v>
                </c:pt>
                <c:pt idx="122">
                  <c:v>45397</c:v>
                </c:pt>
                <c:pt idx="123">
                  <c:v>45113</c:v>
                </c:pt>
                <c:pt idx="124">
                  <c:v>45501</c:v>
                </c:pt>
                <c:pt idx="125">
                  <c:v>45602</c:v>
                </c:pt>
                <c:pt idx="126">
                  <c:v>45780</c:v>
                </c:pt>
                <c:pt idx="127">
                  <c:v>45148</c:v>
                </c:pt>
                <c:pt idx="128">
                  <c:v>44974</c:v>
                </c:pt>
                <c:pt idx="129">
                  <c:v>45226</c:v>
                </c:pt>
                <c:pt idx="130">
                  <c:v>45679</c:v>
                </c:pt>
                <c:pt idx="131">
                  <c:v>44934</c:v>
                </c:pt>
                <c:pt idx="132">
                  <c:v>45013</c:v>
                </c:pt>
                <c:pt idx="133">
                  <c:v>45828</c:v>
                </c:pt>
                <c:pt idx="134">
                  <c:v>45831</c:v>
                </c:pt>
                <c:pt idx="135">
                  <c:v>45142</c:v>
                </c:pt>
                <c:pt idx="136">
                  <c:v>45409</c:v>
                </c:pt>
                <c:pt idx="137">
                  <c:v>45622</c:v>
                </c:pt>
                <c:pt idx="138">
                  <c:v>45281</c:v>
                </c:pt>
                <c:pt idx="139">
                  <c:v>45026</c:v>
                </c:pt>
                <c:pt idx="140">
                  <c:v>45808</c:v>
                </c:pt>
                <c:pt idx="141">
                  <c:v>45248</c:v>
                </c:pt>
                <c:pt idx="142">
                  <c:v>45175</c:v>
                </c:pt>
                <c:pt idx="143">
                  <c:v>45456</c:v>
                </c:pt>
                <c:pt idx="144">
                  <c:v>45142</c:v>
                </c:pt>
                <c:pt idx="145">
                  <c:v>45353</c:v>
                </c:pt>
                <c:pt idx="146">
                  <c:v>45777</c:v>
                </c:pt>
                <c:pt idx="147">
                  <c:v>45783</c:v>
                </c:pt>
                <c:pt idx="148">
                  <c:v>45641</c:v>
                </c:pt>
                <c:pt idx="149">
                  <c:v>45287</c:v>
                </c:pt>
                <c:pt idx="150">
                  <c:v>45273</c:v>
                </c:pt>
                <c:pt idx="151">
                  <c:v>45261</c:v>
                </c:pt>
                <c:pt idx="152">
                  <c:v>45659</c:v>
                </c:pt>
                <c:pt idx="153">
                  <c:v>45644</c:v>
                </c:pt>
                <c:pt idx="154">
                  <c:v>45127</c:v>
                </c:pt>
                <c:pt idx="155">
                  <c:v>44984</c:v>
                </c:pt>
                <c:pt idx="156">
                  <c:v>45604</c:v>
                </c:pt>
                <c:pt idx="157">
                  <c:v>45709</c:v>
                </c:pt>
                <c:pt idx="158">
                  <c:v>45428</c:v>
                </c:pt>
                <c:pt idx="159">
                  <c:v>45230</c:v>
                </c:pt>
                <c:pt idx="160">
                  <c:v>44974</c:v>
                </c:pt>
                <c:pt idx="161">
                  <c:v>45380</c:v>
                </c:pt>
                <c:pt idx="162">
                  <c:v>45134</c:v>
                </c:pt>
                <c:pt idx="163">
                  <c:v>45832</c:v>
                </c:pt>
                <c:pt idx="164">
                  <c:v>45288</c:v>
                </c:pt>
                <c:pt idx="165">
                  <c:v>45549</c:v>
                </c:pt>
                <c:pt idx="166">
                  <c:v>45720</c:v>
                </c:pt>
                <c:pt idx="167">
                  <c:v>45073</c:v>
                </c:pt>
                <c:pt idx="168">
                  <c:v>45661</c:v>
                </c:pt>
                <c:pt idx="169">
                  <c:v>45389</c:v>
                </c:pt>
                <c:pt idx="170">
                  <c:v>45751</c:v>
                </c:pt>
                <c:pt idx="171">
                  <c:v>45153</c:v>
                </c:pt>
                <c:pt idx="172">
                  <c:v>45753</c:v>
                </c:pt>
                <c:pt idx="173">
                  <c:v>45375</c:v>
                </c:pt>
                <c:pt idx="174">
                  <c:v>45398</c:v>
                </c:pt>
                <c:pt idx="175">
                  <c:v>45696</c:v>
                </c:pt>
                <c:pt idx="176">
                  <c:v>45836</c:v>
                </c:pt>
                <c:pt idx="177">
                  <c:v>45143</c:v>
                </c:pt>
                <c:pt idx="178">
                  <c:v>45393</c:v>
                </c:pt>
                <c:pt idx="179">
                  <c:v>45620</c:v>
                </c:pt>
                <c:pt idx="180">
                  <c:v>45003</c:v>
                </c:pt>
                <c:pt idx="181">
                  <c:v>45535</c:v>
                </c:pt>
                <c:pt idx="182">
                  <c:v>45735</c:v>
                </c:pt>
                <c:pt idx="183">
                  <c:v>45400</c:v>
                </c:pt>
                <c:pt idx="184">
                  <c:v>45386</c:v>
                </c:pt>
                <c:pt idx="185">
                  <c:v>45690</c:v>
                </c:pt>
                <c:pt idx="186">
                  <c:v>45267</c:v>
                </c:pt>
                <c:pt idx="187">
                  <c:v>44965</c:v>
                </c:pt>
                <c:pt idx="188">
                  <c:v>45731</c:v>
                </c:pt>
                <c:pt idx="189">
                  <c:v>45112</c:v>
                </c:pt>
                <c:pt idx="190">
                  <c:v>45535</c:v>
                </c:pt>
                <c:pt idx="191">
                  <c:v>45724</c:v>
                </c:pt>
                <c:pt idx="192">
                  <c:v>45149</c:v>
                </c:pt>
                <c:pt idx="193">
                  <c:v>45128</c:v>
                </c:pt>
                <c:pt idx="194">
                  <c:v>45451</c:v>
                </c:pt>
                <c:pt idx="195">
                  <c:v>45404</c:v>
                </c:pt>
                <c:pt idx="196">
                  <c:v>45681</c:v>
                </c:pt>
                <c:pt idx="197">
                  <c:v>45165</c:v>
                </c:pt>
                <c:pt idx="198">
                  <c:v>45454</c:v>
                </c:pt>
                <c:pt idx="199">
                  <c:v>45680</c:v>
                </c:pt>
                <c:pt idx="200">
                  <c:v>45815</c:v>
                </c:pt>
                <c:pt idx="201">
                  <c:v>45095</c:v>
                </c:pt>
                <c:pt idx="202">
                  <c:v>45694</c:v>
                </c:pt>
                <c:pt idx="203">
                  <c:v>45678</c:v>
                </c:pt>
                <c:pt idx="204">
                  <c:v>45174</c:v>
                </c:pt>
                <c:pt idx="205">
                  <c:v>44989</c:v>
                </c:pt>
                <c:pt idx="206">
                  <c:v>45398</c:v>
                </c:pt>
                <c:pt idx="207">
                  <c:v>45734</c:v>
                </c:pt>
                <c:pt idx="208">
                  <c:v>45573</c:v>
                </c:pt>
                <c:pt idx="209">
                  <c:v>45167</c:v>
                </c:pt>
                <c:pt idx="210">
                  <c:v>45631</c:v>
                </c:pt>
                <c:pt idx="211">
                  <c:v>45660</c:v>
                </c:pt>
                <c:pt idx="212">
                  <c:v>45097</c:v>
                </c:pt>
                <c:pt idx="213">
                  <c:v>45036</c:v>
                </c:pt>
                <c:pt idx="214">
                  <c:v>45525</c:v>
                </c:pt>
                <c:pt idx="215">
                  <c:v>45148</c:v>
                </c:pt>
                <c:pt idx="216">
                  <c:v>45762</c:v>
                </c:pt>
                <c:pt idx="217">
                  <c:v>45432</c:v>
                </c:pt>
                <c:pt idx="218">
                  <c:v>45044</c:v>
                </c:pt>
                <c:pt idx="219">
                  <c:v>45779</c:v>
                </c:pt>
                <c:pt idx="220">
                  <c:v>45125</c:v>
                </c:pt>
                <c:pt idx="221">
                  <c:v>45345</c:v>
                </c:pt>
                <c:pt idx="222">
                  <c:v>45050</c:v>
                </c:pt>
                <c:pt idx="223">
                  <c:v>45546</c:v>
                </c:pt>
                <c:pt idx="224">
                  <c:v>45192</c:v>
                </c:pt>
                <c:pt idx="225">
                  <c:v>45364</c:v>
                </c:pt>
                <c:pt idx="226">
                  <c:v>45835</c:v>
                </c:pt>
                <c:pt idx="227">
                  <c:v>45232</c:v>
                </c:pt>
                <c:pt idx="228">
                  <c:v>45063</c:v>
                </c:pt>
                <c:pt idx="229">
                  <c:v>45744</c:v>
                </c:pt>
                <c:pt idx="230">
                  <c:v>45276</c:v>
                </c:pt>
                <c:pt idx="231">
                  <c:v>45235</c:v>
                </c:pt>
                <c:pt idx="232">
                  <c:v>45065</c:v>
                </c:pt>
                <c:pt idx="233">
                  <c:v>45528</c:v>
                </c:pt>
                <c:pt idx="234">
                  <c:v>45622</c:v>
                </c:pt>
                <c:pt idx="235">
                  <c:v>44977</c:v>
                </c:pt>
                <c:pt idx="236">
                  <c:v>44927</c:v>
                </c:pt>
                <c:pt idx="237">
                  <c:v>45365</c:v>
                </c:pt>
                <c:pt idx="238">
                  <c:v>45639</c:v>
                </c:pt>
                <c:pt idx="239">
                  <c:v>45637</c:v>
                </c:pt>
                <c:pt idx="240">
                  <c:v>45119</c:v>
                </c:pt>
                <c:pt idx="241">
                  <c:v>45062</c:v>
                </c:pt>
                <c:pt idx="242">
                  <c:v>45055</c:v>
                </c:pt>
                <c:pt idx="243">
                  <c:v>45786</c:v>
                </c:pt>
                <c:pt idx="244">
                  <c:v>44973</c:v>
                </c:pt>
                <c:pt idx="245">
                  <c:v>45767</c:v>
                </c:pt>
                <c:pt idx="246">
                  <c:v>45534</c:v>
                </c:pt>
                <c:pt idx="247">
                  <c:v>45127</c:v>
                </c:pt>
                <c:pt idx="248">
                  <c:v>45109</c:v>
                </c:pt>
                <c:pt idx="249">
                  <c:v>45329</c:v>
                </c:pt>
                <c:pt idx="250">
                  <c:v>45021</c:v>
                </c:pt>
                <c:pt idx="251">
                  <c:v>45792</c:v>
                </c:pt>
                <c:pt idx="252">
                  <c:v>45555</c:v>
                </c:pt>
                <c:pt idx="253">
                  <c:v>45374</c:v>
                </c:pt>
                <c:pt idx="254">
                  <c:v>45286</c:v>
                </c:pt>
                <c:pt idx="255">
                  <c:v>45425</c:v>
                </c:pt>
                <c:pt idx="256">
                  <c:v>45838</c:v>
                </c:pt>
                <c:pt idx="257">
                  <c:v>45405</c:v>
                </c:pt>
                <c:pt idx="258">
                  <c:v>45348</c:v>
                </c:pt>
                <c:pt idx="259">
                  <c:v>45088</c:v>
                </c:pt>
                <c:pt idx="260">
                  <c:v>45063</c:v>
                </c:pt>
                <c:pt idx="261">
                  <c:v>45805</c:v>
                </c:pt>
                <c:pt idx="262">
                  <c:v>44936</c:v>
                </c:pt>
                <c:pt idx="263">
                  <c:v>45010</c:v>
                </c:pt>
                <c:pt idx="264">
                  <c:v>45507</c:v>
                </c:pt>
                <c:pt idx="265">
                  <c:v>45282</c:v>
                </c:pt>
                <c:pt idx="266">
                  <c:v>45451</c:v>
                </c:pt>
                <c:pt idx="267">
                  <c:v>45764</c:v>
                </c:pt>
                <c:pt idx="268">
                  <c:v>45149</c:v>
                </c:pt>
                <c:pt idx="269">
                  <c:v>45255</c:v>
                </c:pt>
                <c:pt idx="270">
                  <c:v>45081</c:v>
                </c:pt>
                <c:pt idx="271">
                  <c:v>45013</c:v>
                </c:pt>
                <c:pt idx="272">
                  <c:v>45188</c:v>
                </c:pt>
                <c:pt idx="273">
                  <c:v>45592</c:v>
                </c:pt>
                <c:pt idx="274">
                  <c:v>44961</c:v>
                </c:pt>
                <c:pt idx="275">
                  <c:v>45234</c:v>
                </c:pt>
                <c:pt idx="276">
                  <c:v>45745</c:v>
                </c:pt>
                <c:pt idx="277">
                  <c:v>45544</c:v>
                </c:pt>
                <c:pt idx="278">
                  <c:v>45614</c:v>
                </c:pt>
                <c:pt idx="279">
                  <c:v>45219</c:v>
                </c:pt>
                <c:pt idx="280">
                  <c:v>45012</c:v>
                </c:pt>
                <c:pt idx="281">
                  <c:v>45134</c:v>
                </c:pt>
                <c:pt idx="282">
                  <c:v>45769</c:v>
                </c:pt>
                <c:pt idx="283">
                  <c:v>45716</c:v>
                </c:pt>
                <c:pt idx="284">
                  <c:v>44973</c:v>
                </c:pt>
                <c:pt idx="285">
                  <c:v>45818</c:v>
                </c:pt>
                <c:pt idx="286">
                  <c:v>45754</c:v>
                </c:pt>
                <c:pt idx="287">
                  <c:v>45254</c:v>
                </c:pt>
                <c:pt idx="288">
                  <c:v>44997</c:v>
                </c:pt>
                <c:pt idx="289">
                  <c:v>45133</c:v>
                </c:pt>
                <c:pt idx="290">
                  <c:v>45051</c:v>
                </c:pt>
                <c:pt idx="291">
                  <c:v>45424</c:v>
                </c:pt>
                <c:pt idx="292">
                  <c:v>45672</c:v>
                </c:pt>
                <c:pt idx="293">
                  <c:v>44973</c:v>
                </c:pt>
                <c:pt idx="294">
                  <c:v>45748</c:v>
                </c:pt>
                <c:pt idx="295">
                  <c:v>44951</c:v>
                </c:pt>
                <c:pt idx="296">
                  <c:v>45462</c:v>
                </c:pt>
                <c:pt idx="297">
                  <c:v>44979</c:v>
                </c:pt>
                <c:pt idx="298">
                  <c:v>45279</c:v>
                </c:pt>
                <c:pt idx="299">
                  <c:v>45311</c:v>
                </c:pt>
              </c:numCache>
            </c:numRef>
          </c:cat>
          <c:val>
            <c:numRef>
              <c:f>'Cleaned Data'!$N$2:$N$301</c:f>
              <c:numCache>
                <c:formatCode>"$"#,##0.00</c:formatCode>
                <c:ptCount val="3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numCache>
            </c:numRef>
          </c:val>
          <c:smooth val="0"/>
          <c:extLst>
            <c:ext xmlns:c16="http://schemas.microsoft.com/office/drawing/2014/chart" uri="{C3380CC4-5D6E-409C-BE32-E72D297353CC}">
              <c16:uniqueId val="{00000000-9E5E-4552-A0CA-C5A4A2C54130}"/>
            </c:ext>
          </c:extLst>
        </c:ser>
        <c:dLbls>
          <c:showLegendKey val="0"/>
          <c:showVal val="0"/>
          <c:showCatName val="0"/>
          <c:showSerName val="0"/>
          <c:showPercent val="0"/>
          <c:showBubbleSize val="0"/>
        </c:dLbls>
        <c:smooth val="0"/>
        <c:axId val="1682735551"/>
        <c:axId val="872185343"/>
      </c:lineChart>
      <c:dateAx>
        <c:axId val="1682735551"/>
        <c:scaling>
          <c:orientation val="minMax"/>
        </c:scaling>
        <c:delete val="0"/>
        <c:axPos val="b"/>
        <c:numFmt formatCode="[$-409]d\-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85343"/>
        <c:crosses val="autoZero"/>
        <c:auto val="1"/>
        <c:lblOffset val="100"/>
        <c:baseTimeUnit val="days"/>
      </c:dateAx>
      <c:valAx>
        <c:axId val="872185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73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'Cleaned Data'!$N$1</c:f>
              <c:strCache>
                <c:ptCount val="1"/>
                <c:pt idx="0">
                  <c:v>TotalPrice</c:v>
                </c:pt>
              </c:strCache>
            </c:strRef>
          </c:tx>
          <c:spPr>
            <a:solidFill>
              <a:schemeClr val="accent1"/>
            </a:solidFill>
            <a:ln>
              <a:noFill/>
            </a:ln>
            <a:effectLst/>
          </c:spPr>
          <c:invertIfNegative val="0"/>
          <c:cat>
            <c:strRef>
              <c:f>'Cleaned Data'!$D$2:$D$301</c:f>
              <c:strCache>
                <c:ptCount val="300"/>
                <c:pt idx="0">
                  <c:v>Monitor</c:v>
                </c:pt>
                <c:pt idx="1">
                  <c:v>Phone</c:v>
                </c:pt>
                <c:pt idx="2">
                  <c:v>Tablet</c:v>
                </c:pt>
                <c:pt idx="3">
                  <c:v>Chair</c:v>
                </c:pt>
                <c:pt idx="4">
                  <c:v>Printer</c:v>
                </c:pt>
                <c:pt idx="5">
                  <c:v>Phone</c:v>
                </c:pt>
                <c:pt idx="6">
                  <c:v>Laptop</c:v>
                </c:pt>
                <c:pt idx="7">
                  <c:v>Monitor</c:v>
                </c:pt>
                <c:pt idx="8">
                  <c:v>Phone</c:v>
                </c:pt>
                <c:pt idx="9">
                  <c:v>Desk</c:v>
                </c:pt>
                <c:pt idx="10">
                  <c:v>Tablet</c:v>
                </c:pt>
                <c:pt idx="11">
                  <c:v>Monitor</c:v>
                </c:pt>
                <c:pt idx="12">
                  <c:v>Monitor</c:v>
                </c:pt>
                <c:pt idx="13">
                  <c:v>Laptop</c:v>
                </c:pt>
                <c:pt idx="14">
                  <c:v>Tablet</c:v>
                </c:pt>
                <c:pt idx="15">
                  <c:v>Printer</c:v>
                </c:pt>
                <c:pt idx="16">
                  <c:v>Printer</c:v>
                </c:pt>
                <c:pt idx="17">
                  <c:v>Tablet</c:v>
                </c:pt>
                <c:pt idx="18">
                  <c:v>Desk</c:v>
                </c:pt>
                <c:pt idx="19">
                  <c:v>Monitor</c:v>
                </c:pt>
                <c:pt idx="20">
                  <c:v>Chair</c:v>
                </c:pt>
                <c:pt idx="21">
                  <c:v>Monitor</c:v>
                </c:pt>
                <c:pt idx="22">
                  <c:v>Monitor</c:v>
                </c:pt>
                <c:pt idx="23">
                  <c:v>Phone</c:v>
                </c:pt>
                <c:pt idx="24">
                  <c:v>Laptop</c:v>
                </c:pt>
                <c:pt idx="25">
                  <c:v>Monitor</c:v>
                </c:pt>
                <c:pt idx="26">
                  <c:v>Laptop</c:v>
                </c:pt>
                <c:pt idx="27">
                  <c:v>Printer</c:v>
                </c:pt>
                <c:pt idx="28">
                  <c:v>Phone</c:v>
                </c:pt>
                <c:pt idx="29">
                  <c:v>Desk</c:v>
                </c:pt>
                <c:pt idx="30">
                  <c:v>Monitor</c:v>
                </c:pt>
                <c:pt idx="31">
                  <c:v>Chair</c:v>
                </c:pt>
                <c:pt idx="32">
                  <c:v>Tablet</c:v>
                </c:pt>
                <c:pt idx="33">
                  <c:v>Chair</c:v>
                </c:pt>
                <c:pt idx="34">
                  <c:v>Chair</c:v>
                </c:pt>
                <c:pt idx="35">
                  <c:v>Monitor</c:v>
                </c:pt>
                <c:pt idx="36">
                  <c:v>Laptop</c:v>
                </c:pt>
                <c:pt idx="37">
                  <c:v>Laptop</c:v>
                </c:pt>
                <c:pt idx="38">
                  <c:v>Laptop</c:v>
                </c:pt>
                <c:pt idx="39">
                  <c:v>Printer</c:v>
                </c:pt>
                <c:pt idx="40">
                  <c:v>Desk</c:v>
                </c:pt>
                <c:pt idx="41">
                  <c:v>Monitor</c:v>
                </c:pt>
                <c:pt idx="42">
                  <c:v>Printer</c:v>
                </c:pt>
                <c:pt idx="43">
                  <c:v>Chair</c:v>
                </c:pt>
                <c:pt idx="44">
                  <c:v>Phone</c:v>
                </c:pt>
                <c:pt idx="45">
                  <c:v>Chair</c:v>
                </c:pt>
                <c:pt idx="46">
                  <c:v>Monitor</c:v>
                </c:pt>
                <c:pt idx="47">
                  <c:v>Desk</c:v>
                </c:pt>
                <c:pt idx="48">
                  <c:v>Monitor</c:v>
                </c:pt>
                <c:pt idx="49">
                  <c:v>Printer</c:v>
                </c:pt>
                <c:pt idx="50">
                  <c:v>Tablet</c:v>
                </c:pt>
                <c:pt idx="51">
                  <c:v>Tablet</c:v>
                </c:pt>
                <c:pt idx="52">
                  <c:v>Tablet</c:v>
                </c:pt>
                <c:pt idx="53">
                  <c:v>Phone</c:v>
                </c:pt>
                <c:pt idx="54">
                  <c:v>Chair</c:v>
                </c:pt>
                <c:pt idx="55">
                  <c:v>Printer</c:v>
                </c:pt>
                <c:pt idx="56">
                  <c:v>Tablet</c:v>
                </c:pt>
                <c:pt idx="57">
                  <c:v>Printer</c:v>
                </c:pt>
                <c:pt idx="58">
                  <c:v>Phone</c:v>
                </c:pt>
                <c:pt idx="59">
                  <c:v>Chair</c:v>
                </c:pt>
                <c:pt idx="60">
                  <c:v>Desk</c:v>
                </c:pt>
                <c:pt idx="61">
                  <c:v>Desk</c:v>
                </c:pt>
                <c:pt idx="62">
                  <c:v>Desk</c:v>
                </c:pt>
                <c:pt idx="63">
                  <c:v>Chair</c:v>
                </c:pt>
                <c:pt idx="64">
                  <c:v>Printer</c:v>
                </c:pt>
                <c:pt idx="65">
                  <c:v>Monitor</c:v>
                </c:pt>
                <c:pt idx="66">
                  <c:v>Chair</c:v>
                </c:pt>
                <c:pt idx="67">
                  <c:v>Printer</c:v>
                </c:pt>
                <c:pt idx="68">
                  <c:v>Chair</c:v>
                </c:pt>
                <c:pt idx="69">
                  <c:v>Monitor</c:v>
                </c:pt>
                <c:pt idx="70">
                  <c:v>Desk</c:v>
                </c:pt>
                <c:pt idx="71">
                  <c:v>Monitor</c:v>
                </c:pt>
                <c:pt idx="72">
                  <c:v>Tablet</c:v>
                </c:pt>
                <c:pt idx="73">
                  <c:v>Monitor</c:v>
                </c:pt>
                <c:pt idx="74">
                  <c:v>Phone</c:v>
                </c:pt>
                <c:pt idx="75">
                  <c:v>Tablet</c:v>
                </c:pt>
                <c:pt idx="76">
                  <c:v>Laptop</c:v>
                </c:pt>
                <c:pt idx="77">
                  <c:v>Phone</c:v>
                </c:pt>
                <c:pt idx="78">
                  <c:v>Printer</c:v>
                </c:pt>
                <c:pt idx="79">
                  <c:v>Tablet</c:v>
                </c:pt>
                <c:pt idx="80">
                  <c:v>Phone</c:v>
                </c:pt>
                <c:pt idx="81">
                  <c:v>Monitor</c:v>
                </c:pt>
                <c:pt idx="82">
                  <c:v>Tablet</c:v>
                </c:pt>
                <c:pt idx="83">
                  <c:v>Laptop</c:v>
                </c:pt>
                <c:pt idx="84">
                  <c:v>Monitor</c:v>
                </c:pt>
                <c:pt idx="85">
                  <c:v>Tablet</c:v>
                </c:pt>
                <c:pt idx="86">
                  <c:v>Printer</c:v>
                </c:pt>
                <c:pt idx="87">
                  <c:v>Tablet</c:v>
                </c:pt>
                <c:pt idx="88">
                  <c:v>Desk</c:v>
                </c:pt>
                <c:pt idx="89">
                  <c:v>Printer</c:v>
                </c:pt>
                <c:pt idx="90">
                  <c:v>Chair</c:v>
                </c:pt>
                <c:pt idx="91">
                  <c:v>Laptop</c:v>
                </c:pt>
                <c:pt idx="92">
                  <c:v>Printer</c:v>
                </c:pt>
                <c:pt idx="93">
                  <c:v>Desk</c:v>
                </c:pt>
                <c:pt idx="94">
                  <c:v>Chair</c:v>
                </c:pt>
                <c:pt idx="95">
                  <c:v>Printer</c:v>
                </c:pt>
                <c:pt idx="96">
                  <c:v>Phone</c:v>
                </c:pt>
                <c:pt idx="97">
                  <c:v>Tablet</c:v>
                </c:pt>
                <c:pt idx="98">
                  <c:v>Printer</c:v>
                </c:pt>
                <c:pt idx="99">
                  <c:v>Printer</c:v>
                </c:pt>
                <c:pt idx="100">
                  <c:v>Phone</c:v>
                </c:pt>
                <c:pt idx="101">
                  <c:v>Printer</c:v>
                </c:pt>
                <c:pt idx="102">
                  <c:v>Laptop</c:v>
                </c:pt>
                <c:pt idx="103">
                  <c:v>Phone</c:v>
                </c:pt>
                <c:pt idx="104">
                  <c:v>Phone</c:v>
                </c:pt>
                <c:pt idx="105">
                  <c:v>Printer</c:v>
                </c:pt>
                <c:pt idx="106">
                  <c:v>Desk</c:v>
                </c:pt>
                <c:pt idx="107">
                  <c:v>Printer</c:v>
                </c:pt>
                <c:pt idx="108">
                  <c:v>Laptop</c:v>
                </c:pt>
                <c:pt idx="109">
                  <c:v>Desk</c:v>
                </c:pt>
                <c:pt idx="110">
                  <c:v>Tablet</c:v>
                </c:pt>
                <c:pt idx="111">
                  <c:v>Desk</c:v>
                </c:pt>
                <c:pt idx="112">
                  <c:v>Monitor</c:v>
                </c:pt>
                <c:pt idx="113">
                  <c:v>Laptop</c:v>
                </c:pt>
                <c:pt idx="114">
                  <c:v>Monitor</c:v>
                </c:pt>
                <c:pt idx="115">
                  <c:v>Phone</c:v>
                </c:pt>
                <c:pt idx="116">
                  <c:v>Printer</c:v>
                </c:pt>
                <c:pt idx="117">
                  <c:v>Tablet</c:v>
                </c:pt>
                <c:pt idx="118">
                  <c:v>Printer</c:v>
                </c:pt>
                <c:pt idx="119">
                  <c:v>Desk</c:v>
                </c:pt>
                <c:pt idx="120">
                  <c:v>Tablet</c:v>
                </c:pt>
                <c:pt idx="121">
                  <c:v>Desk</c:v>
                </c:pt>
                <c:pt idx="122">
                  <c:v>Laptop</c:v>
                </c:pt>
                <c:pt idx="123">
                  <c:v>Desk</c:v>
                </c:pt>
                <c:pt idx="124">
                  <c:v>Printer</c:v>
                </c:pt>
                <c:pt idx="125">
                  <c:v>Phone</c:v>
                </c:pt>
                <c:pt idx="126">
                  <c:v>Desk</c:v>
                </c:pt>
                <c:pt idx="127">
                  <c:v>Desk</c:v>
                </c:pt>
                <c:pt idx="128">
                  <c:v>Tablet</c:v>
                </c:pt>
                <c:pt idx="129">
                  <c:v>Laptop</c:v>
                </c:pt>
                <c:pt idx="130">
                  <c:v>Desk</c:v>
                </c:pt>
                <c:pt idx="131">
                  <c:v>Tablet</c:v>
                </c:pt>
                <c:pt idx="132">
                  <c:v>Tablet</c:v>
                </c:pt>
                <c:pt idx="133">
                  <c:v>Chair</c:v>
                </c:pt>
                <c:pt idx="134">
                  <c:v>Laptop</c:v>
                </c:pt>
                <c:pt idx="135">
                  <c:v>Printer</c:v>
                </c:pt>
                <c:pt idx="136">
                  <c:v>Laptop</c:v>
                </c:pt>
                <c:pt idx="137">
                  <c:v>Monitor</c:v>
                </c:pt>
                <c:pt idx="138">
                  <c:v>Tablet</c:v>
                </c:pt>
                <c:pt idx="139">
                  <c:v>Phone</c:v>
                </c:pt>
                <c:pt idx="140">
                  <c:v>Chair</c:v>
                </c:pt>
                <c:pt idx="141">
                  <c:v>Printer</c:v>
                </c:pt>
                <c:pt idx="142">
                  <c:v>Desk</c:v>
                </c:pt>
                <c:pt idx="143">
                  <c:v>Chair</c:v>
                </c:pt>
                <c:pt idx="144">
                  <c:v>Desk</c:v>
                </c:pt>
                <c:pt idx="145">
                  <c:v>Printer</c:v>
                </c:pt>
                <c:pt idx="146">
                  <c:v>Tablet</c:v>
                </c:pt>
                <c:pt idx="147">
                  <c:v>Laptop</c:v>
                </c:pt>
                <c:pt idx="148">
                  <c:v>Phone</c:v>
                </c:pt>
                <c:pt idx="149">
                  <c:v>Laptop</c:v>
                </c:pt>
                <c:pt idx="150">
                  <c:v>Phone</c:v>
                </c:pt>
                <c:pt idx="151">
                  <c:v>Printer</c:v>
                </c:pt>
                <c:pt idx="152">
                  <c:v>Chair</c:v>
                </c:pt>
                <c:pt idx="153">
                  <c:v>Chair</c:v>
                </c:pt>
                <c:pt idx="154">
                  <c:v>Phone</c:v>
                </c:pt>
                <c:pt idx="155">
                  <c:v>Phone</c:v>
                </c:pt>
                <c:pt idx="156">
                  <c:v>Chair</c:v>
                </c:pt>
                <c:pt idx="157">
                  <c:v>Monitor</c:v>
                </c:pt>
                <c:pt idx="158">
                  <c:v>Tablet</c:v>
                </c:pt>
                <c:pt idx="159">
                  <c:v>Printer</c:v>
                </c:pt>
                <c:pt idx="160">
                  <c:v>Monitor</c:v>
                </c:pt>
                <c:pt idx="161">
                  <c:v>Monitor</c:v>
                </c:pt>
                <c:pt idx="162">
                  <c:v>Chair</c:v>
                </c:pt>
                <c:pt idx="163">
                  <c:v>Tablet</c:v>
                </c:pt>
                <c:pt idx="164">
                  <c:v>Desk</c:v>
                </c:pt>
                <c:pt idx="165">
                  <c:v>Monitor</c:v>
                </c:pt>
                <c:pt idx="166">
                  <c:v>Chair</c:v>
                </c:pt>
                <c:pt idx="167">
                  <c:v>Chair</c:v>
                </c:pt>
                <c:pt idx="168">
                  <c:v>Printer</c:v>
                </c:pt>
                <c:pt idx="169">
                  <c:v>Printer</c:v>
                </c:pt>
                <c:pt idx="170">
                  <c:v>Desk</c:v>
                </c:pt>
                <c:pt idx="171">
                  <c:v>Tablet</c:v>
                </c:pt>
                <c:pt idx="172">
                  <c:v>Printer</c:v>
                </c:pt>
                <c:pt idx="173">
                  <c:v>Phone</c:v>
                </c:pt>
                <c:pt idx="174">
                  <c:v>Printer</c:v>
                </c:pt>
                <c:pt idx="175">
                  <c:v>Chair</c:v>
                </c:pt>
                <c:pt idx="176">
                  <c:v>Tablet</c:v>
                </c:pt>
                <c:pt idx="177">
                  <c:v>Chair</c:v>
                </c:pt>
                <c:pt idx="178">
                  <c:v>Chair</c:v>
                </c:pt>
                <c:pt idx="179">
                  <c:v>Laptop</c:v>
                </c:pt>
                <c:pt idx="180">
                  <c:v>Tablet</c:v>
                </c:pt>
                <c:pt idx="181">
                  <c:v>Printer</c:v>
                </c:pt>
                <c:pt idx="182">
                  <c:v>Desk</c:v>
                </c:pt>
                <c:pt idx="183">
                  <c:v>Monitor</c:v>
                </c:pt>
                <c:pt idx="184">
                  <c:v>Tablet</c:v>
                </c:pt>
                <c:pt idx="185">
                  <c:v>Laptop</c:v>
                </c:pt>
                <c:pt idx="186">
                  <c:v>Phone</c:v>
                </c:pt>
                <c:pt idx="187">
                  <c:v>Chair</c:v>
                </c:pt>
                <c:pt idx="188">
                  <c:v>Chair</c:v>
                </c:pt>
                <c:pt idx="189">
                  <c:v>Printer</c:v>
                </c:pt>
                <c:pt idx="190">
                  <c:v>Printer</c:v>
                </c:pt>
                <c:pt idx="191">
                  <c:v>Laptop</c:v>
                </c:pt>
                <c:pt idx="192">
                  <c:v>Desk</c:v>
                </c:pt>
                <c:pt idx="193">
                  <c:v>Printer</c:v>
                </c:pt>
                <c:pt idx="194">
                  <c:v>Monitor</c:v>
                </c:pt>
                <c:pt idx="195">
                  <c:v>Chair</c:v>
                </c:pt>
                <c:pt idx="196">
                  <c:v>Desk</c:v>
                </c:pt>
                <c:pt idx="197">
                  <c:v>Laptop</c:v>
                </c:pt>
                <c:pt idx="198">
                  <c:v>Laptop</c:v>
                </c:pt>
                <c:pt idx="199">
                  <c:v>Phone</c:v>
                </c:pt>
                <c:pt idx="200">
                  <c:v>Tablet</c:v>
                </c:pt>
                <c:pt idx="201">
                  <c:v>Monitor</c:v>
                </c:pt>
                <c:pt idx="202">
                  <c:v>Monitor</c:v>
                </c:pt>
                <c:pt idx="203">
                  <c:v>Printer</c:v>
                </c:pt>
                <c:pt idx="204">
                  <c:v>Laptop</c:v>
                </c:pt>
                <c:pt idx="205">
                  <c:v>Desk</c:v>
                </c:pt>
                <c:pt idx="206">
                  <c:v>Laptop</c:v>
                </c:pt>
                <c:pt idx="207">
                  <c:v>Phone</c:v>
                </c:pt>
                <c:pt idx="208">
                  <c:v>Desk</c:v>
                </c:pt>
                <c:pt idx="209">
                  <c:v>Tablet</c:v>
                </c:pt>
                <c:pt idx="210">
                  <c:v>Chair</c:v>
                </c:pt>
                <c:pt idx="211">
                  <c:v>Printer</c:v>
                </c:pt>
                <c:pt idx="212">
                  <c:v>Monitor</c:v>
                </c:pt>
                <c:pt idx="213">
                  <c:v>Laptop</c:v>
                </c:pt>
                <c:pt idx="214">
                  <c:v>Desk</c:v>
                </c:pt>
                <c:pt idx="215">
                  <c:v>Printer</c:v>
                </c:pt>
                <c:pt idx="216">
                  <c:v>Monitor</c:v>
                </c:pt>
                <c:pt idx="217">
                  <c:v>Desk</c:v>
                </c:pt>
                <c:pt idx="218">
                  <c:v>Tablet</c:v>
                </c:pt>
                <c:pt idx="219">
                  <c:v>Laptop</c:v>
                </c:pt>
                <c:pt idx="220">
                  <c:v>Laptop</c:v>
                </c:pt>
                <c:pt idx="221">
                  <c:v>Tablet</c:v>
                </c:pt>
                <c:pt idx="222">
                  <c:v>Chair</c:v>
                </c:pt>
                <c:pt idx="223">
                  <c:v>Phone</c:v>
                </c:pt>
                <c:pt idx="224">
                  <c:v>Printer</c:v>
                </c:pt>
                <c:pt idx="225">
                  <c:v>Phone</c:v>
                </c:pt>
                <c:pt idx="226">
                  <c:v>Desk</c:v>
                </c:pt>
                <c:pt idx="227">
                  <c:v>Monitor</c:v>
                </c:pt>
                <c:pt idx="228">
                  <c:v>Chair</c:v>
                </c:pt>
                <c:pt idx="229">
                  <c:v>Tablet</c:v>
                </c:pt>
                <c:pt idx="230">
                  <c:v>Desk</c:v>
                </c:pt>
                <c:pt idx="231">
                  <c:v>Phone</c:v>
                </c:pt>
                <c:pt idx="232">
                  <c:v>Printer</c:v>
                </c:pt>
                <c:pt idx="233">
                  <c:v>Phone</c:v>
                </c:pt>
                <c:pt idx="234">
                  <c:v>Printer</c:v>
                </c:pt>
                <c:pt idx="235">
                  <c:v>Desk</c:v>
                </c:pt>
                <c:pt idx="236">
                  <c:v>Monitor</c:v>
                </c:pt>
                <c:pt idx="237">
                  <c:v>Monitor</c:v>
                </c:pt>
                <c:pt idx="238">
                  <c:v>Desk</c:v>
                </c:pt>
                <c:pt idx="239">
                  <c:v>Tablet</c:v>
                </c:pt>
                <c:pt idx="240">
                  <c:v>Tablet</c:v>
                </c:pt>
                <c:pt idx="241">
                  <c:v>Chair</c:v>
                </c:pt>
                <c:pt idx="242">
                  <c:v>Printer</c:v>
                </c:pt>
                <c:pt idx="243">
                  <c:v>Chair</c:v>
                </c:pt>
                <c:pt idx="244">
                  <c:v>Desk</c:v>
                </c:pt>
                <c:pt idx="245">
                  <c:v>Laptop</c:v>
                </c:pt>
                <c:pt idx="246">
                  <c:v>Desk</c:v>
                </c:pt>
                <c:pt idx="247">
                  <c:v>Printer</c:v>
                </c:pt>
                <c:pt idx="248">
                  <c:v>Laptop</c:v>
                </c:pt>
                <c:pt idx="249">
                  <c:v>Printer</c:v>
                </c:pt>
                <c:pt idx="250">
                  <c:v>Desk</c:v>
                </c:pt>
                <c:pt idx="251">
                  <c:v>Monitor</c:v>
                </c:pt>
                <c:pt idx="252">
                  <c:v>Phone</c:v>
                </c:pt>
                <c:pt idx="253">
                  <c:v>Chair</c:v>
                </c:pt>
                <c:pt idx="254">
                  <c:v>Monitor</c:v>
                </c:pt>
                <c:pt idx="255">
                  <c:v>Monitor</c:v>
                </c:pt>
                <c:pt idx="256">
                  <c:v>Chair</c:v>
                </c:pt>
                <c:pt idx="257">
                  <c:v>Phone</c:v>
                </c:pt>
                <c:pt idx="258">
                  <c:v>Tablet</c:v>
                </c:pt>
                <c:pt idx="259">
                  <c:v>Chair</c:v>
                </c:pt>
                <c:pt idx="260">
                  <c:v>Monitor</c:v>
                </c:pt>
                <c:pt idx="261">
                  <c:v>Phone</c:v>
                </c:pt>
                <c:pt idx="262">
                  <c:v>Phone</c:v>
                </c:pt>
                <c:pt idx="263">
                  <c:v>Phone</c:v>
                </c:pt>
                <c:pt idx="264">
                  <c:v>Tablet</c:v>
                </c:pt>
                <c:pt idx="265">
                  <c:v>Printer</c:v>
                </c:pt>
                <c:pt idx="266">
                  <c:v>Chair</c:v>
                </c:pt>
                <c:pt idx="267">
                  <c:v>Chair</c:v>
                </c:pt>
                <c:pt idx="268">
                  <c:v>Phone</c:v>
                </c:pt>
                <c:pt idx="269">
                  <c:v>Tablet</c:v>
                </c:pt>
                <c:pt idx="270">
                  <c:v>Printer</c:v>
                </c:pt>
                <c:pt idx="271">
                  <c:v>Monitor</c:v>
                </c:pt>
                <c:pt idx="272">
                  <c:v>Chair</c:v>
                </c:pt>
                <c:pt idx="273">
                  <c:v>Tablet</c:v>
                </c:pt>
                <c:pt idx="274">
                  <c:v>Phone</c:v>
                </c:pt>
                <c:pt idx="275">
                  <c:v>Chair</c:v>
                </c:pt>
                <c:pt idx="276">
                  <c:v>Printer</c:v>
                </c:pt>
                <c:pt idx="277">
                  <c:v>Chair</c:v>
                </c:pt>
                <c:pt idx="278">
                  <c:v>Laptop</c:v>
                </c:pt>
                <c:pt idx="279">
                  <c:v>Chair</c:v>
                </c:pt>
                <c:pt idx="280">
                  <c:v>Tablet</c:v>
                </c:pt>
                <c:pt idx="281">
                  <c:v>Desk</c:v>
                </c:pt>
                <c:pt idx="282">
                  <c:v>Printer</c:v>
                </c:pt>
                <c:pt idx="283">
                  <c:v>Laptop</c:v>
                </c:pt>
                <c:pt idx="284">
                  <c:v>Laptop</c:v>
                </c:pt>
                <c:pt idx="285">
                  <c:v>Phone</c:v>
                </c:pt>
                <c:pt idx="286">
                  <c:v>Monitor</c:v>
                </c:pt>
                <c:pt idx="287">
                  <c:v>Chair</c:v>
                </c:pt>
                <c:pt idx="288">
                  <c:v>Laptop</c:v>
                </c:pt>
                <c:pt idx="289">
                  <c:v>Chair</c:v>
                </c:pt>
                <c:pt idx="290">
                  <c:v>Chair</c:v>
                </c:pt>
                <c:pt idx="291">
                  <c:v>Phone</c:v>
                </c:pt>
                <c:pt idx="292">
                  <c:v>Monitor</c:v>
                </c:pt>
                <c:pt idx="293">
                  <c:v>Tablet</c:v>
                </c:pt>
                <c:pt idx="294">
                  <c:v>Phone</c:v>
                </c:pt>
                <c:pt idx="295">
                  <c:v>Printer</c:v>
                </c:pt>
                <c:pt idx="296">
                  <c:v>Desk</c:v>
                </c:pt>
                <c:pt idx="297">
                  <c:v>Desk</c:v>
                </c:pt>
                <c:pt idx="298">
                  <c:v>Printer</c:v>
                </c:pt>
                <c:pt idx="299">
                  <c:v>Monitor</c:v>
                </c:pt>
              </c:strCache>
            </c:strRef>
          </c:cat>
          <c:val>
            <c:numRef>
              <c:f>'Cleaned Data'!$N$2:$N$301</c:f>
              <c:numCache>
                <c:formatCode>"$"#,##0.00</c:formatCode>
                <c:ptCount val="3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numCache>
            </c:numRef>
          </c:val>
          <c:extLst>
            <c:ext xmlns:c16="http://schemas.microsoft.com/office/drawing/2014/chart" uri="{C3380CC4-5D6E-409C-BE32-E72D297353CC}">
              <c16:uniqueId val="{00000000-EA92-4E13-A21D-005DDF63D9ED}"/>
            </c:ext>
          </c:extLst>
        </c:ser>
        <c:dLbls>
          <c:showLegendKey val="0"/>
          <c:showVal val="0"/>
          <c:showCatName val="0"/>
          <c:showSerName val="0"/>
          <c:showPercent val="0"/>
          <c:showBubbleSize val="0"/>
        </c:dLbls>
        <c:gapWidth val="219"/>
        <c:overlap val="-27"/>
        <c:axId val="1433338095"/>
        <c:axId val="1221626719"/>
      </c:barChart>
      <c:catAx>
        <c:axId val="143333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26719"/>
        <c:crosses val="autoZero"/>
        <c:auto val="1"/>
        <c:lblAlgn val="ctr"/>
        <c:lblOffset val="100"/>
        <c:noMultiLvlLbl val="0"/>
      </c:catAx>
      <c:valAx>
        <c:axId val="1221626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3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[SarthThakar_ExcelDashboard.xlsx]Pivot Table!OrderStatus</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pieChart>
        <c:varyColors val="1"/>
        <c:ser>
          <c:idx val="0"/>
          <c:order val="0"/>
          <c:tx>
            <c:strRef>
              <c:f>'Pivot Table'!$G$3</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D2-49D3-AAA8-9AEE7A64FE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D2-49D3-AAA8-9AEE7A64FE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D2-49D3-AAA8-9AEE7A64FE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D2-49D3-AAA8-9AEE7A64FE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D2-49D3-AAA8-9AEE7A64FEE5}"/>
              </c:ext>
            </c:extLst>
          </c:dPt>
          <c:cat>
            <c:strRef>
              <c:f>'Pivot Table'!$F$4:$F$9</c:f>
              <c:strCache>
                <c:ptCount val="5"/>
                <c:pt idx="0">
                  <c:v>Cancelled</c:v>
                </c:pt>
                <c:pt idx="1">
                  <c:v>Delivered</c:v>
                </c:pt>
                <c:pt idx="2">
                  <c:v>Pending</c:v>
                </c:pt>
                <c:pt idx="3">
                  <c:v>Returned</c:v>
                </c:pt>
                <c:pt idx="4">
                  <c:v>Shipped</c:v>
                </c:pt>
              </c:strCache>
            </c:strRef>
          </c:cat>
          <c:val>
            <c:numRef>
              <c:f>'Pivot Table'!$G$4:$G$9</c:f>
              <c:numCache>
                <c:formatCode>General</c:formatCode>
                <c:ptCount val="5"/>
                <c:pt idx="0">
                  <c:v>73</c:v>
                </c:pt>
                <c:pt idx="1">
                  <c:v>58</c:v>
                </c:pt>
                <c:pt idx="2">
                  <c:v>56</c:v>
                </c:pt>
                <c:pt idx="3">
                  <c:v>54</c:v>
                </c:pt>
                <c:pt idx="4">
                  <c:v>59</c:v>
                </c:pt>
              </c:numCache>
            </c:numRef>
          </c:val>
          <c:extLst>
            <c:ext xmlns:c16="http://schemas.microsoft.com/office/drawing/2014/chart" uri="{C3380CC4-5D6E-409C-BE32-E72D297353CC}">
              <c16:uniqueId val="{0000000A-D1D2-49D3-AAA8-9AEE7A64FEE5}"/>
            </c:ext>
          </c:extLst>
        </c:ser>
        <c:ser>
          <c:idx val="1"/>
          <c:order val="1"/>
          <c:tx>
            <c:strRef>
              <c:f>'Pivot Table'!$H$3</c:f>
              <c:strCache>
                <c:ptCount val="1"/>
                <c:pt idx="0">
                  <c:v>Sum of TotalPrice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D1D2-49D3-AAA8-9AEE7A64FE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D1D2-49D3-AAA8-9AEE7A64FE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D1D2-49D3-AAA8-9AEE7A64FE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D1D2-49D3-AAA8-9AEE7A64FE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D1D2-49D3-AAA8-9AEE7A64FEE5}"/>
              </c:ext>
            </c:extLst>
          </c:dPt>
          <c:cat>
            <c:strRef>
              <c:f>'Pivot Table'!$F$4:$F$9</c:f>
              <c:strCache>
                <c:ptCount val="5"/>
                <c:pt idx="0">
                  <c:v>Cancelled</c:v>
                </c:pt>
                <c:pt idx="1">
                  <c:v>Delivered</c:v>
                </c:pt>
                <c:pt idx="2">
                  <c:v>Pending</c:v>
                </c:pt>
                <c:pt idx="3">
                  <c:v>Returned</c:v>
                </c:pt>
                <c:pt idx="4">
                  <c:v>Shipped</c:v>
                </c:pt>
              </c:strCache>
            </c:strRef>
          </c:cat>
          <c:val>
            <c:numRef>
              <c:f>'Pivot Table'!$H$4:$H$9</c:f>
              <c:numCache>
                <c:formatCode>"$"#,##0.00</c:formatCode>
                <c:ptCount val="5"/>
                <c:pt idx="0">
                  <c:v>77333.509999999995</c:v>
                </c:pt>
                <c:pt idx="1">
                  <c:v>52651.329999999994</c:v>
                </c:pt>
                <c:pt idx="2">
                  <c:v>59564.289999999979</c:v>
                </c:pt>
                <c:pt idx="3">
                  <c:v>51872.140000000007</c:v>
                </c:pt>
                <c:pt idx="4">
                  <c:v>65555.650000000009</c:v>
                </c:pt>
              </c:numCache>
            </c:numRef>
          </c:val>
          <c:extLst>
            <c:ext xmlns:c16="http://schemas.microsoft.com/office/drawing/2014/chart" uri="{C3380CC4-5D6E-409C-BE32-E72D297353CC}">
              <c16:uniqueId val="{00000015-D1D2-49D3-AAA8-9AEE7A64FE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'Cleaned Data'!$B$2:$B$301</c:f>
              <c:numCache>
                <c:formatCode>[$-409]d\-mmm\-yyyy;@</c:formatCode>
                <c:ptCount val="300"/>
                <c:pt idx="0">
                  <c:v>44930</c:v>
                </c:pt>
                <c:pt idx="1">
                  <c:v>45527</c:v>
                </c:pt>
                <c:pt idx="2">
                  <c:v>45349</c:v>
                </c:pt>
                <c:pt idx="3">
                  <c:v>45214</c:v>
                </c:pt>
                <c:pt idx="4">
                  <c:v>45785</c:v>
                </c:pt>
                <c:pt idx="5">
                  <c:v>45222</c:v>
                </c:pt>
                <c:pt idx="6">
                  <c:v>45825</c:v>
                </c:pt>
                <c:pt idx="7">
                  <c:v>45058</c:v>
                </c:pt>
                <c:pt idx="8">
                  <c:v>45749</c:v>
                </c:pt>
                <c:pt idx="9">
                  <c:v>45251</c:v>
                </c:pt>
                <c:pt idx="10">
                  <c:v>45289</c:v>
                </c:pt>
                <c:pt idx="11">
                  <c:v>45339</c:v>
                </c:pt>
                <c:pt idx="12">
                  <c:v>45580</c:v>
                </c:pt>
                <c:pt idx="13">
                  <c:v>45168</c:v>
                </c:pt>
                <c:pt idx="14">
                  <c:v>45012</c:v>
                </c:pt>
                <c:pt idx="15">
                  <c:v>45124</c:v>
                </c:pt>
                <c:pt idx="16">
                  <c:v>44950</c:v>
                </c:pt>
                <c:pt idx="17">
                  <c:v>45353</c:v>
                </c:pt>
                <c:pt idx="18">
                  <c:v>45742</c:v>
                </c:pt>
                <c:pt idx="19">
                  <c:v>44949</c:v>
                </c:pt>
                <c:pt idx="20">
                  <c:v>45054</c:v>
                </c:pt>
                <c:pt idx="21">
                  <c:v>45613</c:v>
                </c:pt>
                <c:pt idx="22">
                  <c:v>44955</c:v>
                </c:pt>
                <c:pt idx="23">
                  <c:v>45756</c:v>
                </c:pt>
                <c:pt idx="24">
                  <c:v>45595</c:v>
                </c:pt>
                <c:pt idx="25">
                  <c:v>45497</c:v>
                </c:pt>
                <c:pt idx="26">
                  <c:v>45357</c:v>
                </c:pt>
                <c:pt idx="27">
                  <c:v>45344</c:v>
                </c:pt>
                <c:pt idx="28">
                  <c:v>45251</c:v>
                </c:pt>
                <c:pt idx="29">
                  <c:v>45555</c:v>
                </c:pt>
                <c:pt idx="30">
                  <c:v>45738</c:v>
                </c:pt>
                <c:pt idx="31">
                  <c:v>45107</c:v>
                </c:pt>
                <c:pt idx="32">
                  <c:v>45047</c:v>
                </c:pt>
                <c:pt idx="33">
                  <c:v>45082</c:v>
                </c:pt>
                <c:pt idx="34">
                  <c:v>44933</c:v>
                </c:pt>
                <c:pt idx="35">
                  <c:v>45633</c:v>
                </c:pt>
                <c:pt idx="36">
                  <c:v>45785</c:v>
                </c:pt>
                <c:pt idx="37">
                  <c:v>45579</c:v>
                </c:pt>
                <c:pt idx="38">
                  <c:v>45645</c:v>
                </c:pt>
                <c:pt idx="39">
                  <c:v>45715</c:v>
                </c:pt>
                <c:pt idx="40">
                  <c:v>45158</c:v>
                </c:pt>
                <c:pt idx="41">
                  <c:v>45265</c:v>
                </c:pt>
                <c:pt idx="42">
                  <c:v>45418</c:v>
                </c:pt>
                <c:pt idx="43">
                  <c:v>45274</c:v>
                </c:pt>
                <c:pt idx="44">
                  <c:v>45768</c:v>
                </c:pt>
                <c:pt idx="45">
                  <c:v>45332</c:v>
                </c:pt>
                <c:pt idx="46">
                  <c:v>45469</c:v>
                </c:pt>
                <c:pt idx="47">
                  <c:v>45126</c:v>
                </c:pt>
                <c:pt idx="48">
                  <c:v>45164</c:v>
                </c:pt>
                <c:pt idx="49">
                  <c:v>45206</c:v>
                </c:pt>
                <c:pt idx="50">
                  <c:v>45138</c:v>
                </c:pt>
                <c:pt idx="51">
                  <c:v>45656</c:v>
                </c:pt>
                <c:pt idx="52">
                  <c:v>45543</c:v>
                </c:pt>
                <c:pt idx="53">
                  <c:v>45430</c:v>
                </c:pt>
                <c:pt idx="54">
                  <c:v>45743</c:v>
                </c:pt>
                <c:pt idx="55">
                  <c:v>45832</c:v>
                </c:pt>
                <c:pt idx="56">
                  <c:v>45067</c:v>
                </c:pt>
                <c:pt idx="57">
                  <c:v>44948</c:v>
                </c:pt>
                <c:pt idx="58">
                  <c:v>44941</c:v>
                </c:pt>
                <c:pt idx="59">
                  <c:v>45546</c:v>
                </c:pt>
                <c:pt idx="60">
                  <c:v>45525</c:v>
                </c:pt>
                <c:pt idx="61">
                  <c:v>45375</c:v>
                </c:pt>
                <c:pt idx="62">
                  <c:v>45160</c:v>
                </c:pt>
                <c:pt idx="63">
                  <c:v>45690</c:v>
                </c:pt>
                <c:pt idx="64">
                  <c:v>45833</c:v>
                </c:pt>
                <c:pt idx="65">
                  <c:v>45290</c:v>
                </c:pt>
                <c:pt idx="66">
                  <c:v>45611</c:v>
                </c:pt>
                <c:pt idx="67">
                  <c:v>45635</c:v>
                </c:pt>
                <c:pt idx="68">
                  <c:v>45271</c:v>
                </c:pt>
                <c:pt idx="69">
                  <c:v>45057</c:v>
                </c:pt>
                <c:pt idx="70">
                  <c:v>45072</c:v>
                </c:pt>
                <c:pt idx="71">
                  <c:v>45818</c:v>
                </c:pt>
                <c:pt idx="72">
                  <c:v>45648</c:v>
                </c:pt>
                <c:pt idx="73">
                  <c:v>45049</c:v>
                </c:pt>
                <c:pt idx="74">
                  <c:v>45101</c:v>
                </c:pt>
                <c:pt idx="75">
                  <c:v>45195</c:v>
                </c:pt>
                <c:pt idx="76">
                  <c:v>45382</c:v>
                </c:pt>
                <c:pt idx="77">
                  <c:v>45436</c:v>
                </c:pt>
                <c:pt idx="78">
                  <c:v>45510</c:v>
                </c:pt>
                <c:pt idx="79">
                  <c:v>45726</c:v>
                </c:pt>
                <c:pt idx="80">
                  <c:v>45104</c:v>
                </c:pt>
                <c:pt idx="81">
                  <c:v>45085</c:v>
                </c:pt>
                <c:pt idx="82">
                  <c:v>45296</c:v>
                </c:pt>
                <c:pt idx="83">
                  <c:v>45160</c:v>
                </c:pt>
                <c:pt idx="84">
                  <c:v>45166</c:v>
                </c:pt>
                <c:pt idx="85">
                  <c:v>45544</c:v>
                </c:pt>
                <c:pt idx="86">
                  <c:v>45462</c:v>
                </c:pt>
                <c:pt idx="87">
                  <c:v>45575</c:v>
                </c:pt>
                <c:pt idx="88">
                  <c:v>45813</c:v>
                </c:pt>
                <c:pt idx="89">
                  <c:v>45713</c:v>
                </c:pt>
                <c:pt idx="90">
                  <c:v>45187</c:v>
                </c:pt>
                <c:pt idx="91">
                  <c:v>45000</c:v>
                </c:pt>
                <c:pt idx="92">
                  <c:v>45453</c:v>
                </c:pt>
                <c:pt idx="93">
                  <c:v>44940</c:v>
                </c:pt>
                <c:pt idx="94">
                  <c:v>44968</c:v>
                </c:pt>
                <c:pt idx="95">
                  <c:v>45009</c:v>
                </c:pt>
                <c:pt idx="96">
                  <c:v>45444</c:v>
                </c:pt>
                <c:pt idx="97">
                  <c:v>45678</c:v>
                </c:pt>
                <c:pt idx="98">
                  <c:v>44940</c:v>
                </c:pt>
                <c:pt idx="99">
                  <c:v>45759</c:v>
                </c:pt>
                <c:pt idx="100">
                  <c:v>44974</c:v>
                </c:pt>
                <c:pt idx="101">
                  <c:v>45255</c:v>
                </c:pt>
                <c:pt idx="102">
                  <c:v>44993</c:v>
                </c:pt>
                <c:pt idx="103">
                  <c:v>45682</c:v>
                </c:pt>
                <c:pt idx="104">
                  <c:v>45503</c:v>
                </c:pt>
                <c:pt idx="105">
                  <c:v>45589</c:v>
                </c:pt>
                <c:pt idx="106">
                  <c:v>45177</c:v>
                </c:pt>
                <c:pt idx="107">
                  <c:v>45012</c:v>
                </c:pt>
                <c:pt idx="108">
                  <c:v>45654</c:v>
                </c:pt>
                <c:pt idx="109">
                  <c:v>45186</c:v>
                </c:pt>
                <c:pt idx="110">
                  <c:v>45403</c:v>
                </c:pt>
                <c:pt idx="111">
                  <c:v>45784</c:v>
                </c:pt>
                <c:pt idx="112">
                  <c:v>44927</c:v>
                </c:pt>
                <c:pt idx="113">
                  <c:v>45308</c:v>
                </c:pt>
                <c:pt idx="114">
                  <c:v>45684</c:v>
                </c:pt>
                <c:pt idx="115">
                  <c:v>45257</c:v>
                </c:pt>
                <c:pt idx="116">
                  <c:v>45004</c:v>
                </c:pt>
                <c:pt idx="117">
                  <c:v>44993</c:v>
                </c:pt>
                <c:pt idx="118">
                  <c:v>45208</c:v>
                </c:pt>
                <c:pt idx="119">
                  <c:v>45819</c:v>
                </c:pt>
                <c:pt idx="120">
                  <c:v>45027</c:v>
                </c:pt>
                <c:pt idx="121">
                  <c:v>45260</c:v>
                </c:pt>
                <c:pt idx="122">
                  <c:v>45397</c:v>
                </c:pt>
                <c:pt idx="123">
                  <c:v>45113</c:v>
                </c:pt>
                <c:pt idx="124">
                  <c:v>45501</c:v>
                </c:pt>
                <c:pt idx="125">
                  <c:v>45602</c:v>
                </c:pt>
                <c:pt idx="126">
                  <c:v>45780</c:v>
                </c:pt>
                <c:pt idx="127">
                  <c:v>45148</c:v>
                </c:pt>
                <c:pt idx="128">
                  <c:v>44974</c:v>
                </c:pt>
                <c:pt idx="129">
                  <c:v>45226</c:v>
                </c:pt>
                <c:pt idx="130">
                  <c:v>45679</c:v>
                </c:pt>
                <c:pt idx="131">
                  <c:v>44934</c:v>
                </c:pt>
                <c:pt idx="132">
                  <c:v>45013</c:v>
                </c:pt>
                <c:pt idx="133">
                  <c:v>45828</c:v>
                </c:pt>
                <c:pt idx="134">
                  <c:v>45831</c:v>
                </c:pt>
                <c:pt idx="135">
                  <c:v>45142</c:v>
                </c:pt>
                <c:pt idx="136">
                  <c:v>45409</c:v>
                </c:pt>
                <c:pt idx="137">
                  <c:v>45622</c:v>
                </c:pt>
                <c:pt idx="138">
                  <c:v>45281</c:v>
                </c:pt>
                <c:pt idx="139">
                  <c:v>45026</c:v>
                </c:pt>
                <c:pt idx="140">
                  <c:v>45808</c:v>
                </c:pt>
                <c:pt idx="141">
                  <c:v>45248</c:v>
                </c:pt>
                <c:pt idx="142">
                  <c:v>45175</c:v>
                </c:pt>
                <c:pt idx="143">
                  <c:v>45456</c:v>
                </c:pt>
                <c:pt idx="144">
                  <c:v>45142</c:v>
                </c:pt>
                <c:pt idx="145">
                  <c:v>45353</c:v>
                </c:pt>
                <c:pt idx="146">
                  <c:v>45777</c:v>
                </c:pt>
                <c:pt idx="147">
                  <c:v>45783</c:v>
                </c:pt>
                <c:pt idx="148">
                  <c:v>45641</c:v>
                </c:pt>
                <c:pt idx="149">
                  <c:v>45287</c:v>
                </c:pt>
                <c:pt idx="150">
                  <c:v>45273</c:v>
                </c:pt>
                <c:pt idx="151">
                  <c:v>45261</c:v>
                </c:pt>
                <c:pt idx="152">
                  <c:v>45659</c:v>
                </c:pt>
                <c:pt idx="153">
                  <c:v>45644</c:v>
                </c:pt>
                <c:pt idx="154">
                  <c:v>45127</c:v>
                </c:pt>
                <c:pt idx="155">
                  <c:v>44984</c:v>
                </c:pt>
                <c:pt idx="156">
                  <c:v>45604</c:v>
                </c:pt>
                <c:pt idx="157">
                  <c:v>45709</c:v>
                </c:pt>
                <c:pt idx="158">
                  <c:v>45428</c:v>
                </c:pt>
                <c:pt idx="159">
                  <c:v>45230</c:v>
                </c:pt>
                <c:pt idx="160">
                  <c:v>44974</c:v>
                </c:pt>
                <c:pt idx="161">
                  <c:v>45380</c:v>
                </c:pt>
                <c:pt idx="162">
                  <c:v>45134</c:v>
                </c:pt>
                <c:pt idx="163">
                  <c:v>45832</c:v>
                </c:pt>
                <c:pt idx="164">
                  <c:v>45288</c:v>
                </c:pt>
                <c:pt idx="165">
                  <c:v>45549</c:v>
                </c:pt>
                <c:pt idx="166">
                  <c:v>45720</c:v>
                </c:pt>
                <c:pt idx="167">
                  <c:v>45073</c:v>
                </c:pt>
                <c:pt idx="168">
                  <c:v>45661</c:v>
                </c:pt>
                <c:pt idx="169">
                  <c:v>45389</c:v>
                </c:pt>
                <c:pt idx="170">
                  <c:v>45751</c:v>
                </c:pt>
                <c:pt idx="171">
                  <c:v>45153</c:v>
                </c:pt>
                <c:pt idx="172">
                  <c:v>45753</c:v>
                </c:pt>
                <c:pt idx="173">
                  <c:v>45375</c:v>
                </c:pt>
                <c:pt idx="174">
                  <c:v>45398</c:v>
                </c:pt>
                <c:pt idx="175">
                  <c:v>45696</c:v>
                </c:pt>
                <c:pt idx="176">
                  <c:v>45836</c:v>
                </c:pt>
                <c:pt idx="177">
                  <c:v>45143</c:v>
                </c:pt>
                <c:pt idx="178">
                  <c:v>45393</c:v>
                </c:pt>
                <c:pt idx="179">
                  <c:v>45620</c:v>
                </c:pt>
                <c:pt idx="180">
                  <c:v>45003</c:v>
                </c:pt>
                <c:pt idx="181">
                  <c:v>45535</c:v>
                </c:pt>
                <c:pt idx="182">
                  <c:v>45735</c:v>
                </c:pt>
                <c:pt idx="183">
                  <c:v>45400</c:v>
                </c:pt>
                <c:pt idx="184">
                  <c:v>45386</c:v>
                </c:pt>
                <c:pt idx="185">
                  <c:v>45690</c:v>
                </c:pt>
                <c:pt idx="186">
                  <c:v>45267</c:v>
                </c:pt>
                <c:pt idx="187">
                  <c:v>44965</c:v>
                </c:pt>
                <c:pt idx="188">
                  <c:v>45731</c:v>
                </c:pt>
                <c:pt idx="189">
                  <c:v>45112</c:v>
                </c:pt>
                <c:pt idx="190">
                  <c:v>45535</c:v>
                </c:pt>
                <c:pt idx="191">
                  <c:v>45724</c:v>
                </c:pt>
                <c:pt idx="192">
                  <c:v>45149</c:v>
                </c:pt>
                <c:pt idx="193">
                  <c:v>45128</c:v>
                </c:pt>
                <c:pt idx="194">
                  <c:v>45451</c:v>
                </c:pt>
                <c:pt idx="195">
                  <c:v>45404</c:v>
                </c:pt>
                <c:pt idx="196">
                  <c:v>45681</c:v>
                </c:pt>
                <c:pt idx="197">
                  <c:v>45165</c:v>
                </c:pt>
                <c:pt idx="198">
                  <c:v>45454</c:v>
                </c:pt>
                <c:pt idx="199">
                  <c:v>45680</c:v>
                </c:pt>
                <c:pt idx="200">
                  <c:v>45815</c:v>
                </c:pt>
                <c:pt idx="201">
                  <c:v>45095</c:v>
                </c:pt>
                <c:pt idx="202">
                  <c:v>45694</c:v>
                </c:pt>
                <c:pt idx="203">
                  <c:v>45678</c:v>
                </c:pt>
                <c:pt idx="204">
                  <c:v>45174</c:v>
                </c:pt>
                <c:pt idx="205">
                  <c:v>44989</c:v>
                </c:pt>
                <c:pt idx="206">
                  <c:v>45398</c:v>
                </c:pt>
                <c:pt idx="207">
                  <c:v>45734</c:v>
                </c:pt>
                <c:pt idx="208">
                  <c:v>45573</c:v>
                </c:pt>
                <c:pt idx="209">
                  <c:v>45167</c:v>
                </c:pt>
                <c:pt idx="210">
                  <c:v>45631</c:v>
                </c:pt>
                <c:pt idx="211">
                  <c:v>45660</c:v>
                </c:pt>
                <c:pt idx="212">
                  <c:v>45097</c:v>
                </c:pt>
                <c:pt idx="213">
                  <c:v>45036</c:v>
                </c:pt>
                <c:pt idx="214">
                  <c:v>45525</c:v>
                </c:pt>
                <c:pt idx="215">
                  <c:v>45148</c:v>
                </c:pt>
                <c:pt idx="216">
                  <c:v>45762</c:v>
                </c:pt>
                <c:pt idx="217">
                  <c:v>45432</c:v>
                </c:pt>
                <c:pt idx="218">
                  <c:v>45044</c:v>
                </c:pt>
                <c:pt idx="219">
                  <c:v>45779</c:v>
                </c:pt>
                <c:pt idx="220">
                  <c:v>45125</c:v>
                </c:pt>
                <c:pt idx="221">
                  <c:v>45345</c:v>
                </c:pt>
                <c:pt idx="222">
                  <c:v>45050</c:v>
                </c:pt>
                <c:pt idx="223">
                  <c:v>45546</c:v>
                </c:pt>
                <c:pt idx="224">
                  <c:v>45192</c:v>
                </c:pt>
                <c:pt idx="225">
                  <c:v>45364</c:v>
                </c:pt>
                <c:pt idx="226">
                  <c:v>45835</c:v>
                </c:pt>
                <c:pt idx="227">
                  <c:v>45232</c:v>
                </c:pt>
                <c:pt idx="228">
                  <c:v>45063</c:v>
                </c:pt>
                <c:pt idx="229">
                  <c:v>45744</c:v>
                </c:pt>
                <c:pt idx="230">
                  <c:v>45276</c:v>
                </c:pt>
                <c:pt idx="231">
                  <c:v>45235</c:v>
                </c:pt>
                <c:pt idx="232">
                  <c:v>45065</c:v>
                </c:pt>
                <c:pt idx="233">
                  <c:v>45528</c:v>
                </c:pt>
                <c:pt idx="234">
                  <c:v>45622</c:v>
                </c:pt>
                <c:pt idx="235">
                  <c:v>44977</c:v>
                </c:pt>
                <c:pt idx="236">
                  <c:v>44927</c:v>
                </c:pt>
                <c:pt idx="237">
                  <c:v>45365</c:v>
                </c:pt>
                <c:pt idx="238">
                  <c:v>45639</c:v>
                </c:pt>
                <c:pt idx="239">
                  <c:v>45637</c:v>
                </c:pt>
                <c:pt idx="240">
                  <c:v>45119</c:v>
                </c:pt>
                <c:pt idx="241">
                  <c:v>45062</c:v>
                </c:pt>
                <c:pt idx="242">
                  <c:v>45055</c:v>
                </c:pt>
                <c:pt idx="243">
                  <c:v>45786</c:v>
                </c:pt>
                <c:pt idx="244">
                  <c:v>44973</c:v>
                </c:pt>
                <c:pt idx="245">
                  <c:v>45767</c:v>
                </c:pt>
                <c:pt idx="246">
                  <c:v>45534</c:v>
                </c:pt>
                <c:pt idx="247">
                  <c:v>45127</c:v>
                </c:pt>
                <c:pt idx="248">
                  <c:v>45109</c:v>
                </c:pt>
                <c:pt idx="249">
                  <c:v>45329</c:v>
                </c:pt>
                <c:pt idx="250">
                  <c:v>45021</c:v>
                </c:pt>
                <c:pt idx="251">
                  <c:v>45792</c:v>
                </c:pt>
                <c:pt idx="252">
                  <c:v>45555</c:v>
                </c:pt>
                <c:pt idx="253">
                  <c:v>45374</c:v>
                </c:pt>
                <c:pt idx="254">
                  <c:v>45286</c:v>
                </c:pt>
                <c:pt idx="255">
                  <c:v>45425</c:v>
                </c:pt>
                <c:pt idx="256">
                  <c:v>45838</c:v>
                </c:pt>
                <c:pt idx="257">
                  <c:v>45405</c:v>
                </c:pt>
                <c:pt idx="258">
                  <c:v>45348</c:v>
                </c:pt>
                <c:pt idx="259">
                  <c:v>45088</c:v>
                </c:pt>
                <c:pt idx="260">
                  <c:v>45063</c:v>
                </c:pt>
                <c:pt idx="261">
                  <c:v>45805</c:v>
                </c:pt>
                <c:pt idx="262">
                  <c:v>44936</c:v>
                </c:pt>
                <c:pt idx="263">
                  <c:v>45010</c:v>
                </c:pt>
                <c:pt idx="264">
                  <c:v>45507</c:v>
                </c:pt>
                <c:pt idx="265">
                  <c:v>45282</c:v>
                </c:pt>
                <c:pt idx="266">
                  <c:v>45451</c:v>
                </c:pt>
                <c:pt idx="267">
                  <c:v>45764</c:v>
                </c:pt>
                <c:pt idx="268">
                  <c:v>45149</c:v>
                </c:pt>
                <c:pt idx="269">
                  <c:v>45255</c:v>
                </c:pt>
                <c:pt idx="270">
                  <c:v>45081</c:v>
                </c:pt>
                <c:pt idx="271">
                  <c:v>45013</c:v>
                </c:pt>
                <c:pt idx="272">
                  <c:v>45188</c:v>
                </c:pt>
                <c:pt idx="273">
                  <c:v>45592</c:v>
                </c:pt>
                <c:pt idx="274">
                  <c:v>44961</c:v>
                </c:pt>
                <c:pt idx="275">
                  <c:v>45234</c:v>
                </c:pt>
                <c:pt idx="276">
                  <c:v>45745</c:v>
                </c:pt>
                <c:pt idx="277">
                  <c:v>45544</c:v>
                </c:pt>
                <c:pt idx="278">
                  <c:v>45614</c:v>
                </c:pt>
                <c:pt idx="279">
                  <c:v>45219</c:v>
                </c:pt>
                <c:pt idx="280">
                  <c:v>45012</c:v>
                </c:pt>
                <c:pt idx="281">
                  <c:v>45134</c:v>
                </c:pt>
                <c:pt idx="282">
                  <c:v>45769</c:v>
                </c:pt>
                <c:pt idx="283">
                  <c:v>45716</c:v>
                </c:pt>
                <c:pt idx="284">
                  <c:v>44973</c:v>
                </c:pt>
                <c:pt idx="285">
                  <c:v>45818</c:v>
                </c:pt>
                <c:pt idx="286">
                  <c:v>45754</c:v>
                </c:pt>
                <c:pt idx="287">
                  <c:v>45254</c:v>
                </c:pt>
                <c:pt idx="288">
                  <c:v>44997</c:v>
                </c:pt>
                <c:pt idx="289">
                  <c:v>45133</c:v>
                </c:pt>
                <c:pt idx="290">
                  <c:v>45051</c:v>
                </c:pt>
                <c:pt idx="291">
                  <c:v>45424</c:v>
                </c:pt>
                <c:pt idx="292">
                  <c:v>45672</c:v>
                </c:pt>
                <c:pt idx="293">
                  <c:v>44973</c:v>
                </c:pt>
                <c:pt idx="294">
                  <c:v>45748</c:v>
                </c:pt>
                <c:pt idx="295">
                  <c:v>44951</c:v>
                </c:pt>
                <c:pt idx="296">
                  <c:v>45462</c:v>
                </c:pt>
                <c:pt idx="297">
                  <c:v>44979</c:v>
                </c:pt>
                <c:pt idx="298">
                  <c:v>45279</c:v>
                </c:pt>
                <c:pt idx="299">
                  <c:v>45311</c:v>
                </c:pt>
              </c:numCache>
            </c:numRef>
          </c:cat>
          <c:val>
            <c:numRef>
              <c:f>'Cleaned Data'!$N$2:$N$301</c:f>
              <c:numCache>
                <c:formatCode>"$"#,##0.00</c:formatCode>
                <c:ptCount val="3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numCache>
            </c:numRef>
          </c:val>
          <c:smooth val="0"/>
          <c:extLst>
            <c:ext xmlns:c16="http://schemas.microsoft.com/office/drawing/2014/chart" uri="{C3380CC4-5D6E-409C-BE32-E72D297353CC}">
              <c16:uniqueId val="{00000000-D192-43D0-B01F-A6AA0A69E4AC}"/>
            </c:ext>
          </c:extLst>
        </c:ser>
        <c:dLbls>
          <c:showLegendKey val="0"/>
          <c:showVal val="0"/>
          <c:showCatName val="0"/>
          <c:showSerName val="0"/>
          <c:showPercent val="0"/>
          <c:showBubbleSize val="0"/>
        </c:dLbls>
        <c:smooth val="0"/>
        <c:axId val="1682735551"/>
        <c:axId val="872185343"/>
      </c:lineChart>
      <c:dateAx>
        <c:axId val="1682735551"/>
        <c:scaling>
          <c:orientation val="minMax"/>
        </c:scaling>
        <c:delete val="0"/>
        <c:axPos val="b"/>
        <c:numFmt formatCode="[$-409]d\-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85343"/>
        <c:crosses val="autoZero"/>
        <c:auto val="1"/>
        <c:lblOffset val="100"/>
        <c:baseTimeUnit val="days"/>
      </c:dateAx>
      <c:valAx>
        <c:axId val="872185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73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19050</xdr:rowOff>
    </xdr:from>
    <xdr:to>
      <xdr:col>8</xdr:col>
      <xdr:colOff>600075</xdr:colOff>
      <xdr:row>18</xdr:row>
      <xdr:rowOff>95250</xdr:rowOff>
    </xdr:to>
    <xdr:graphicFrame macro="">
      <xdr:nvGraphicFramePr>
        <xdr:cNvPr id="2" name="Sales by Product Category">
          <a:extLst>
            <a:ext uri="{FF2B5EF4-FFF2-40B4-BE49-F238E27FC236}">
              <a16:creationId xmlns:a16="http://schemas.microsoft.com/office/drawing/2014/main" id="{F2AFA421-9E0B-422A-B94B-6343EC677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123825</xdr:colOff>
      <xdr:row>4</xdr:row>
      <xdr:rowOff>19050</xdr:rowOff>
    </xdr:from>
    <xdr:to>
      <xdr:col>17</xdr:col>
      <xdr:colOff>161925</xdr:colOff>
      <xdr:row>18</xdr:row>
      <xdr:rowOff>95250</xdr:rowOff>
    </xdr:to>
    <xdr:graphicFrame macro="">
      <xdr:nvGraphicFramePr>
        <xdr:cNvPr id="6" name="Sales Distribution by Region">
          <a:extLst>
            <a:ext uri="{FF2B5EF4-FFF2-40B4-BE49-F238E27FC236}">
              <a16:creationId xmlns:a16="http://schemas.microsoft.com/office/drawing/2014/main" id="{D7C3112E-6ACB-46B6-8A86-93F7F6003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266700</xdr:colOff>
      <xdr:row>4</xdr:row>
      <xdr:rowOff>0</xdr:rowOff>
    </xdr:from>
    <xdr:to>
      <xdr:col>24</xdr:col>
      <xdr:colOff>601134</xdr:colOff>
      <xdr:row>18</xdr:row>
      <xdr:rowOff>76200</xdr:rowOff>
    </xdr:to>
    <xdr:graphicFrame macro="">
      <xdr:nvGraphicFramePr>
        <xdr:cNvPr id="7" name="Sales Trend Over Time">
          <a:extLst>
            <a:ext uri="{FF2B5EF4-FFF2-40B4-BE49-F238E27FC236}">
              <a16:creationId xmlns:a16="http://schemas.microsoft.com/office/drawing/2014/main" id="{98C7AD97-4744-4EE7-8B97-F94046D08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4</xdr:row>
      <xdr:rowOff>0</xdr:rowOff>
    </xdr:from>
    <xdr:to>
      <xdr:col>7</xdr:col>
      <xdr:colOff>590550</xdr:colOff>
      <xdr:row>18</xdr:row>
      <xdr:rowOff>76200</xdr:rowOff>
    </xdr:to>
    <xdr:graphicFrame macro="">
      <xdr:nvGraphicFramePr>
        <xdr:cNvPr id="2" name="Sales by Product Category">
          <a:extLst>
            <a:ext uri="{FF2B5EF4-FFF2-40B4-BE49-F238E27FC236}">
              <a16:creationId xmlns:a16="http://schemas.microsoft.com/office/drawing/2014/main" id="{5A992A43-6402-4A3E-822E-62E25DDDA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285750</xdr:colOff>
      <xdr:row>4</xdr:row>
      <xdr:rowOff>0</xdr:rowOff>
    </xdr:from>
    <xdr:to>
      <xdr:col>15</xdr:col>
      <xdr:colOff>590550</xdr:colOff>
      <xdr:row>18</xdr:row>
      <xdr:rowOff>76200</xdr:rowOff>
    </xdr:to>
    <xdr:graphicFrame macro="">
      <xdr:nvGraphicFramePr>
        <xdr:cNvPr id="3" name="Chart 2">
          <a:extLst>
            <a:ext uri="{FF2B5EF4-FFF2-40B4-BE49-F238E27FC236}">
              <a16:creationId xmlns:a16="http://schemas.microsoft.com/office/drawing/2014/main" id="{A69EA728-926E-4607-A192-8802E6D44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285750</xdr:colOff>
      <xdr:row>4</xdr:row>
      <xdr:rowOff>0</xdr:rowOff>
    </xdr:from>
    <xdr:to>
      <xdr:col>23</xdr:col>
      <xdr:colOff>590550</xdr:colOff>
      <xdr:row>18</xdr:row>
      <xdr:rowOff>76200</xdr:rowOff>
    </xdr:to>
    <xdr:graphicFrame macro="">
      <xdr:nvGraphicFramePr>
        <xdr:cNvPr id="4" name="Chart 3">
          <a:extLst>
            <a:ext uri="{FF2B5EF4-FFF2-40B4-BE49-F238E27FC236}">
              <a16:creationId xmlns:a16="http://schemas.microsoft.com/office/drawing/2014/main" id="{C7F45D6F-B8E7-48AE-976C-241167C11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535780</xdr:colOff>
      <xdr:row>20</xdr:row>
      <xdr:rowOff>47625</xdr:rowOff>
    </xdr:from>
    <xdr:to>
      <xdr:col>3</xdr:col>
      <xdr:colOff>535780</xdr:colOff>
      <xdr:row>34</xdr:row>
      <xdr:rowOff>47625</xdr:rowOff>
    </xdr:to>
    <mc:AlternateContent xmlns:mc="http://schemas.openxmlformats.org/markup-compatibility/2006" xmlns:a14="http://schemas.microsoft.com/office/drawing/2010/main">
      <mc:Choice Requires="a14">
        <xdr:graphicFrame macro="">
          <xdr:nvGraphicFramePr>
            <xdr:cNvPr id="12" name="PaymentMethod">
              <a:extLst>
                <a:ext uri="{FF2B5EF4-FFF2-40B4-BE49-F238E27FC236}">
                  <a16:creationId xmlns:a16="http://schemas.microsoft.com/office/drawing/2014/main" id="{75B1D6E7-B7F9-47E6-92E1-2565FE2DD68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535780" y="4175125"/>
              <a:ext cx="18415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480213</xdr:colOff>
      <xdr:row>20</xdr:row>
      <xdr:rowOff>47625</xdr:rowOff>
    </xdr:from>
    <xdr:to>
      <xdr:col>7</xdr:col>
      <xdr:colOff>480214</xdr:colOff>
      <xdr:row>34</xdr:row>
      <xdr:rowOff>47625</xdr:rowOff>
    </xdr:to>
    <mc:AlternateContent xmlns:mc="http://schemas.openxmlformats.org/markup-compatibility/2006" xmlns:a14="http://schemas.microsoft.com/office/drawing/2010/main">
      <mc:Choice Requires="a14">
        <xdr:graphicFrame macro="">
          <xdr:nvGraphicFramePr>
            <xdr:cNvPr id="15" name="ReferralSource 1">
              <a:extLst>
                <a:ext uri="{FF2B5EF4-FFF2-40B4-BE49-F238E27FC236}">
                  <a16:creationId xmlns:a16="http://schemas.microsoft.com/office/drawing/2014/main" id="{F81AB9E2-11BE-4AD8-A2D5-4DE0BF8E0055}"/>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2935546" y="4175125"/>
              <a:ext cx="1841501"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20</xdr:row>
      <xdr:rowOff>0</xdr:rowOff>
    </xdr:from>
    <xdr:to>
      <xdr:col>14</xdr:col>
      <xdr:colOff>285750</xdr:colOff>
      <xdr:row>27</xdr:row>
      <xdr:rowOff>38100</xdr:rowOff>
    </xdr:to>
    <mc:AlternateContent xmlns:mc="http://schemas.openxmlformats.org/markup-compatibility/2006" xmlns:tsle="http://schemas.microsoft.com/office/drawing/2012/timeslicer">
      <mc:Choice Requires="tsle">
        <xdr:graphicFrame macro="">
          <xdr:nvGraphicFramePr>
            <xdr:cNvPr id="16" name="Date">
              <a:extLst>
                <a:ext uri="{FF2B5EF4-FFF2-40B4-BE49-F238E27FC236}">
                  <a16:creationId xmlns:a16="http://schemas.microsoft.com/office/drawing/2014/main" id="{3B5B5A54-C166-42EE-8BFA-39854B39FA9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524500" y="4127500"/>
              <a:ext cx="335491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80.401569212961" createdVersion="8" refreshedVersion="8" minRefreshableVersion="3" recordCount="300" xr:uid="{B7EE2FF0-C0C8-4D0F-B7A8-D58526B2ACA6}">
  <cacheSource type="worksheet">
    <worksheetSource name="SalesData"/>
  </cacheSource>
  <cacheFields count="14">
    <cacheField name="OrderID" numFmtId="0">
      <sharedItems/>
    </cacheField>
    <cacheField name="Date" numFmtId="164">
      <sharedItems containsSemiMixedTypes="0" containsNonDate="0" containsDate="1" containsString="0" minDate="2023-01-01T00:00:00" maxDate="2025-07-01T00:00:00" count="265">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sharedItems>
    </cacheField>
    <cacheField name="CustomerID" numFmtId="0">
      <sharedItems/>
    </cacheField>
    <cacheField name="Product" numFmtId="0">
      <sharedItems count="7">
        <s v="Monitor"/>
        <s v="Phone"/>
        <s v="Tablet"/>
        <s v="Chair"/>
        <s v="Printer"/>
        <s v="Laptop"/>
        <s v="Desk"/>
      </sharedItems>
    </cacheField>
    <cacheField name="Quantity" numFmtId="2">
      <sharedItems containsSemiMixedTypes="0" containsString="0" containsNumber="1" containsInteger="1" minValue="1" maxValue="5"/>
    </cacheField>
    <cacheField name="UnitPrice" numFmtId="166">
      <sharedItems containsSemiMixedTypes="0" containsString="0" containsNumber="1" minValue="12.1" maxValue="693.36"/>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2">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166">
      <sharedItems containsSemiMixedTypes="0" containsString="0" containsNumber="1" minValue="17.239999999999998" maxValue="3353.75"/>
    </cacheField>
  </cacheFields>
  <extLst>
    <ext xmlns:x14="http://schemas.microsoft.com/office/spreadsheetml/2009/9/main" uri="{725AE2AE-9491-48be-B2B4-4EB974FC3084}">
      <x14:pivotCacheDefinition pivotCacheId="1490545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s v="None"/>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s v="None"/>
    <x v="4"/>
    <n v="473.96"/>
  </r>
  <r>
    <s v="ORD200016"/>
    <x v="16"/>
    <s v="C28976"/>
    <x v="4"/>
    <n v="2"/>
    <n v="533.80999999999995"/>
    <s v="914 Main St"/>
    <x v="2"/>
    <x v="4"/>
    <s v="TRK13194259"/>
    <n v="3"/>
    <s v="FREESHIP"/>
    <x v="2"/>
    <n v="1067.6199999999999"/>
  </r>
  <r>
    <s v="ORD200017"/>
    <x v="17"/>
    <s v="C60672"/>
    <x v="2"/>
    <n v="1"/>
    <n v="423.4"/>
    <s v="382 Main St"/>
    <x v="0"/>
    <x v="0"/>
    <s v="TRK11972116"/>
    <n v="3"/>
    <s v="None"/>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s v="None"/>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s v="None"/>
    <x v="1"/>
    <n v="297.75"/>
  </r>
  <r>
    <s v="ORD200027"/>
    <x v="27"/>
    <s v="C97593"/>
    <x v="4"/>
    <n v="1"/>
    <n v="472.74"/>
    <s v="881 Main St"/>
    <x v="1"/>
    <x v="0"/>
    <s v="TRK89117573"/>
    <n v="6"/>
    <s v="WINTER15"/>
    <x v="4"/>
    <n v="472.74"/>
  </r>
  <r>
    <s v="ORD200028"/>
    <x v="9"/>
    <s v="C59823"/>
    <x v="1"/>
    <n v="4"/>
    <n v="160.07"/>
    <s v="568 Main St"/>
    <x v="1"/>
    <x v="4"/>
    <s v="TRK65895539"/>
    <n v="5"/>
    <s v="None"/>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s v="None"/>
    <x v="3"/>
    <n v="1500.24"/>
  </r>
  <r>
    <s v="ORD200032"/>
    <x v="31"/>
    <s v="C12388"/>
    <x v="2"/>
    <n v="5"/>
    <n v="536.72"/>
    <s v="830 Main St"/>
    <x v="4"/>
    <x v="3"/>
    <s v="TRK99261395"/>
    <n v="10"/>
    <s v="None"/>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s v="None"/>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799999999998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s v="None"/>
    <x v="0"/>
    <n v="303.32"/>
  </r>
  <r>
    <s v="ORD200043"/>
    <x v="41"/>
    <s v="C60572"/>
    <x v="3"/>
    <n v="3"/>
    <n v="499.21"/>
    <s v="871 Main St"/>
    <x v="1"/>
    <x v="1"/>
    <s v="TRK20351666"/>
    <n v="8"/>
    <s v="None"/>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s v="None"/>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s v="None"/>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s v="None"/>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s v="None"/>
    <x v="0"/>
    <n v="408.5"/>
  </r>
  <r>
    <s v="ORD200066"/>
    <x v="64"/>
    <s v="C18104"/>
    <x v="3"/>
    <n v="5"/>
    <n v="127.18"/>
    <s v="715 Main St"/>
    <x v="4"/>
    <x v="1"/>
    <s v="TRK15488568"/>
    <n v="9"/>
    <s v="SAVE10"/>
    <x v="1"/>
    <n v="635.90000000000009"/>
  </r>
  <r>
    <s v="ORD200067"/>
    <x v="65"/>
    <s v="C25587"/>
    <x v="4"/>
    <n v="4"/>
    <n v="12.1"/>
    <s v="440 Main St"/>
    <x v="0"/>
    <x v="1"/>
    <s v="TRK55105323"/>
    <n v="8"/>
    <s v="None"/>
    <x v="4"/>
    <n v="48.4"/>
  </r>
  <r>
    <s v="ORD200068"/>
    <x v="66"/>
    <s v="C41598"/>
    <x v="3"/>
    <n v="3"/>
    <n v="490.92"/>
    <s v="709 Main St"/>
    <x v="2"/>
    <x v="4"/>
    <s v="TRK81665940"/>
    <n v="5"/>
    <s v="FREESHIP"/>
    <x v="2"/>
    <n v="1472.76"/>
  </r>
  <r>
    <s v="ORD200069"/>
    <x v="67"/>
    <s v="C43338"/>
    <x v="0"/>
    <n v="3"/>
    <n v="478.65"/>
    <s v="552 Main St"/>
    <x v="1"/>
    <x v="0"/>
    <s v="TRK35241775"/>
    <n v="4"/>
    <s v="None"/>
    <x v="1"/>
    <n v="1435.95"/>
  </r>
  <r>
    <s v="ORD200070"/>
    <x v="68"/>
    <s v="C25123"/>
    <x v="6"/>
    <n v="1"/>
    <n v="629.21"/>
    <s v="384 Main St"/>
    <x v="3"/>
    <x v="4"/>
    <s v="TRK27812282"/>
    <n v="2"/>
    <s v="FREESHIP"/>
    <x v="0"/>
    <n v="629.21"/>
  </r>
  <r>
    <s v="ORD200071"/>
    <x v="69"/>
    <s v="C37454"/>
    <x v="0"/>
    <n v="3"/>
    <n v="434.45"/>
    <s v="923 Main St"/>
    <x v="2"/>
    <x v="4"/>
    <s v="TRK28252730"/>
    <n v="4"/>
    <s v="None"/>
    <x v="1"/>
    <n v="1303.3499999999999"/>
  </r>
  <r>
    <s v="ORD200072"/>
    <x v="70"/>
    <s v="C19451"/>
    <x v="2"/>
    <n v="4"/>
    <n v="589.44000000000005"/>
    <s v="942 Main St"/>
    <x v="3"/>
    <x v="2"/>
    <s v="TRK87787793"/>
    <n v="5"/>
    <s v="None"/>
    <x v="3"/>
    <n v="2357.7600000000002"/>
  </r>
  <r>
    <s v="ORD200073"/>
    <x v="71"/>
    <s v="C17269"/>
    <x v="0"/>
    <n v="4"/>
    <n v="433.45"/>
    <s v="129 Main St"/>
    <x v="3"/>
    <x v="1"/>
    <s v="TRK79608389"/>
    <n v="4"/>
    <s v="None"/>
    <x v="3"/>
    <n v="1733.8"/>
  </r>
  <r>
    <s v="ORD200074"/>
    <x v="72"/>
    <s v="C25382"/>
    <x v="1"/>
    <n v="5"/>
    <n v="90.87"/>
    <s v="622 Main St"/>
    <x v="4"/>
    <x v="4"/>
    <s v="TRK64691287"/>
    <n v="5"/>
    <s v="None"/>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s v="None"/>
    <x v="4"/>
    <n v="583.17999999999995"/>
  </r>
  <r>
    <s v="ORD200078"/>
    <x v="76"/>
    <s v="C32029"/>
    <x v="4"/>
    <n v="4"/>
    <n v="175.36"/>
    <s v="146 Main St"/>
    <x v="0"/>
    <x v="3"/>
    <s v="TRK68535532"/>
    <n v="4"/>
    <s v="FREESHIP"/>
    <x v="0"/>
    <n v="701.44"/>
  </r>
  <r>
    <s v="ORD200079"/>
    <x v="77"/>
    <s v="C76700"/>
    <x v="2"/>
    <n v="2"/>
    <n v="311.91000000000003"/>
    <s v="103 Main St"/>
    <x v="1"/>
    <x v="0"/>
    <s v="TRK13036341"/>
    <n v="2"/>
    <s v="None"/>
    <x v="3"/>
    <n v="623.82000000000005"/>
  </r>
  <r>
    <s v="ORD200080"/>
    <x v="78"/>
    <s v="C29041"/>
    <x v="1"/>
    <n v="3"/>
    <n v="589.55999999999995"/>
    <s v="591 Main St"/>
    <x v="1"/>
    <x v="2"/>
    <s v="TRK28840655"/>
    <n v="6"/>
    <s v="None"/>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s v="None"/>
    <x v="1"/>
    <n v="2161.64"/>
  </r>
  <r>
    <s v="ORD200084"/>
    <x v="81"/>
    <s v="C64160"/>
    <x v="0"/>
    <n v="2"/>
    <n v="165.49"/>
    <s v="967 Main St"/>
    <x v="1"/>
    <x v="0"/>
    <s v="TRK34121529"/>
    <n v="4"/>
    <s v="WINTER15"/>
    <x v="0"/>
    <n v="330.98"/>
  </r>
  <r>
    <s v="ORD200085"/>
    <x v="82"/>
    <s v="C14553"/>
    <x v="2"/>
    <n v="3"/>
    <n v="146.72999999999999"/>
    <s v="768 Main St"/>
    <x v="4"/>
    <x v="3"/>
    <s v="TRK93538334"/>
    <n v="8"/>
    <s v="FREESHIP"/>
    <x v="2"/>
    <n v="440.18999999999988"/>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s v="None"/>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s v="None"/>
    <x v="1"/>
    <n v="1724.04"/>
  </r>
  <r>
    <s v="ORD200094"/>
    <x v="91"/>
    <s v="C79821"/>
    <x v="3"/>
    <n v="1"/>
    <n v="531.17999999999995"/>
    <s v="781 Main St"/>
    <x v="3"/>
    <x v="2"/>
    <s v="TRK12780193"/>
    <n v="6"/>
    <s v="WINTER15"/>
    <x v="0"/>
    <n v="531.17999999999995"/>
  </r>
  <r>
    <s v="ORD200095"/>
    <x v="92"/>
    <s v="C76761"/>
    <x v="4"/>
    <n v="4"/>
    <n v="117.51"/>
    <s v="839 Main St"/>
    <x v="0"/>
    <x v="2"/>
    <s v="TRK60179774"/>
    <n v="7"/>
    <s v="None"/>
    <x v="1"/>
    <n v="470.04"/>
  </r>
  <r>
    <s v="ORD200096"/>
    <x v="93"/>
    <s v="C93007"/>
    <x v="1"/>
    <n v="2"/>
    <n v="232.83"/>
    <s v="103 Main St"/>
    <x v="3"/>
    <x v="3"/>
    <s v="TRK85696091"/>
    <n v="7"/>
    <s v="None"/>
    <x v="0"/>
    <n v="465.66"/>
  </r>
  <r>
    <s v="ORD200097"/>
    <x v="94"/>
    <s v="C15624"/>
    <x v="2"/>
    <n v="5"/>
    <n v="619.52"/>
    <s v="922 Main St"/>
    <x v="0"/>
    <x v="4"/>
    <s v="TRK40621141"/>
    <n v="9"/>
    <s v="None"/>
    <x v="2"/>
    <n v="3097.6"/>
  </r>
  <r>
    <s v="ORD200098"/>
    <x v="90"/>
    <s v="C70921"/>
    <x v="4"/>
    <n v="2"/>
    <n v="228.54"/>
    <s v="533 Main St"/>
    <x v="0"/>
    <x v="4"/>
    <s v="TRK54983109"/>
    <n v="3"/>
    <s v="None"/>
    <x v="2"/>
    <n v="457.08"/>
  </r>
  <r>
    <s v="ORD200099"/>
    <x v="95"/>
    <s v="C30477"/>
    <x v="4"/>
    <n v="1"/>
    <n v="201.58"/>
    <s v="717 Main St"/>
    <x v="0"/>
    <x v="1"/>
    <s v="TRK51829648"/>
    <n v="2"/>
    <s v="WINTER15"/>
    <x v="2"/>
    <n v="201.58"/>
  </r>
  <r>
    <s v="ORD200100"/>
    <x v="96"/>
    <s v="C74866"/>
    <x v="1"/>
    <n v="3"/>
    <n v="664.79"/>
    <s v="743 Main St"/>
    <x v="1"/>
    <x v="3"/>
    <s v="TRK53783265"/>
    <n v="6"/>
    <s v="None"/>
    <x v="3"/>
    <n v="1994.37"/>
  </r>
  <r>
    <s v="ORD200101"/>
    <x v="97"/>
    <s v="C15283"/>
    <x v="4"/>
    <n v="1"/>
    <n v="381.02"/>
    <s v="152 Main St"/>
    <x v="4"/>
    <x v="0"/>
    <s v="TRK19286291"/>
    <n v="6"/>
    <s v="None"/>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s v="None"/>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000000000008"/>
  </r>
  <r>
    <s v="ORD200112"/>
    <x v="107"/>
    <s v="C81366"/>
    <x v="0"/>
    <n v="1"/>
    <n v="410.6"/>
    <s v="423 Main St"/>
    <x v="1"/>
    <x v="1"/>
    <s v="TRK17062206"/>
    <n v="2"/>
    <s v="WINTER15"/>
    <x v="1"/>
    <n v="410.6"/>
  </r>
  <r>
    <s v="ORD200113"/>
    <x v="108"/>
    <s v="C65905"/>
    <x v="5"/>
    <n v="5"/>
    <n v="190.08"/>
    <s v="605 Main St"/>
    <x v="4"/>
    <x v="0"/>
    <s v="TRK73954365"/>
    <n v="9"/>
    <s v="FREESHIP"/>
    <x v="0"/>
    <n v="950.40000000000009"/>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s v="None"/>
    <x v="3"/>
    <n v="1066.04"/>
  </r>
  <r>
    <s v="ORD200123"/>
    <x v="117"/>
    <s v="C86064"/>
    <x v="6"/>
    <n v="3"/>
    <n v="278.04000000000002"/>
    <s v="727 Main St"/>
    <x v="1"/>
    <x v="3"/>
    <s v="TRK62182901"/>
    <n v="5"/>
    <s v="None"/>
    <x v="0"/>
    <n v="834.12000000000012"/>
  </r>
  <r>
    <s v="ORD200124"/>
    <x v="118"/>
    <s v="C97148"/>
    <x v="4"/>
    <n v="4"/>
    <n v="283.79000000000002"/>
    <s v="563 Main St"/>
    <x v="1"/>
    <x v="4"/>
    <s v="TRK85321126"/>
    <n v="8"/>
    <s v="None"/>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s v="None"/>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s v="None"/>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s v="None"/>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s v="None"/>
    <x v="4"/>
    <n v="501.96"/>
  </r>
  <r>
    <s v="ORD200138"/>
    <x v="131"/>
    <s v="C21905"/>
    <x v="2"/>
    <n v="1"/>
    <n v="298.06"/>
    <s v="478 Main St"/>
    <x v="0"/>
    <x v="4"/>
    <s v="TRK31863841"/>
    <n v="3"/>
    <s v="WINTER15"/>
    <x v="4"/>
    <n v="298.06"/>
  </r>
  <r>
    <s v="ORD200139"/>
    <x v="132"/>
    <s v="C61440"/>
    <x v="1"/>
    <n v="1"/>
    <n v="583.9"/>
    <s v="714 Main St"/>
    <x v="4"/>
    <x v="2"/>
    <s v="TRK33114521"/>
    <n v="1"/>
    <s v="None"/>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s v="None"/>
    <x v="1"/>
    <n v="1600.28"/>
  </r>
  <r>
    <s v="ORD200144"/>
    <x v="128"/>
    <s v="C63365"/>
    <x v="6"/>
    <n v="5"/>
    <n v="219.78"/>
    <s v="895 Main St"/>
    <x v="2"/>
    <x v="4"/>
    <s v="TRK80100887"/>
    <n v="8"/>
    <s v="None"/>
    <x v="3"/>
    <n v="1098.9000000000001"/>
  </r>
  <r>
    <s v="ORD200145"/>
    <x v="17"/>
    <s v="C85929"/>
    <x v="4"/>
    <n v="3"/>
    <n v="146.91"/>
    <s v="798 Main St"/>
    <x v="2"/>
    <x v="3"/>
    <s v="TRK29318610"/>
    <n v="6"/>
    <s v="FREESHIP"/>
    <x v="4"/>
    <n v="440.73"/>
  </r>
  <r>
    <s v="ORD200146"/>
    <x v="137"/>
    <s v="C84645"/>
    <x v="2"/>
    <n v="2"/>
    <n v="411.49"/>
    <s v="404 Main St"/>
    <x v="2"/>
    <x v="2"/>
    <s v="TRK68893369"/>
    <n v="4"/>
    <s v="None"/>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s v="None"/>
    <x v="3"/>
    <n v="217.56"/>
  </r>
  <r>
    <s v="ORD200150"/>
    <x v="141"/>
    <s v="C25503"/>
    <x v="1"/>
    <n v="2"/>
    <n v="105.57"/>
    <s v="981 Main St"/>
    <x v="0"/>
    <x v="2"/>
    <s v="TRK29878837"/>
    <n v="5"/>
    <s v="WINTER15"/>
    <x v="4"/>
    <n v="211.14"/>
  </r>
  <r>
    <s v="ORD200151"/>
    <x v="142"/>
    <s v="C32960"/>
    <x v="4"/>
    <n v="5"/>
    <n v="444.76"/>
    <s v="947 Main St"/>
    <x v="0"/>
    <x v="2"/>
    <s v="TRK91226500"/>
    <n v="7"/>
    <s v="None"/>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s v="None"/>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s v="None"/>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s v="None"/>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s v="None"/>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s v="None"/>
    <x v="3"/>
    <n v="2158.4499999999998"/>
  </r>
  <r>
    <s v="ORD200178"/>
    <x v="166"/>
    <s v="C53070"/>
    <x v="3"/>
    <n v="4"/>
    <n v="512.05999999999995"/>
    <s v="283 Main St"/>
    <x v="1"/>
    <x v="3"/>
    <s v="TRK49791755"/>
    <n v="5"/>
    <s v="SAVE10"/>
    <x v="4"/>
    <n v="2048.2399999999998"/>
  </r>
  <r>
    <s v="ORD200179"/>
    <x v="167"/>
    <s v="C27401"/>
    <x v="5"/>
    <n v="3"/>
    <n v="539.91"/>
    <s v="500 Main St"/>
    <x v="2"/>
    <x v="3"/>
    <s v="TRK14332053"/>
    <n v="8"/>
    <s v="None"/>
    <x v="2"/>
    <n v="1619.73"/>
  </r>
  <r>
    <s v="ORD200180"/>
    <x v="168"/>
    <s v="C87216"/>
    <x v="2"/>
    <n v="5"/>
    <n v="316.07"/>
    <s v="970 Main St"/>
    <x v="4"/>
    <x v="2"/>
    <s v="TRK18713727"/>
    <n v="10"/>
    <s v="None"/>
    <x v="4"/>
    <n v="1580.35"/>
  </r>
  <r>
    <s v="ORD200181"/>
    <x v="169"/>
    <s v="C38966"/>
    <x v="4"/>
    <n v="5"/>
    <n v="404.39"/>
    <s v="247 Main St"/>
    <x v="1"/>
    <x v="0"/>
    <s v="TRK17205146"/>
    <n v="10"/>
    <s v="None"/>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s v="None"/>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0999999999999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s v="None"/>
    <x v="4"/>
    <n v="46.66"/>
  </r>
  <r>
    <s v="ORD200194"/>
    <x v="180"/>
    <s v="C53501"/>
    <x v="0"/>
    <n v="1"/>
    <n v="249.57"/>
    <s v="899 Main St"/>
    <x v="4"/>
    <x v="0"/>
    <s v="TRK90144892"/>
    <n v="3"/>
    <s v="FREESHIP"/>
    <x v="4"/>
    <n v="249.57"/>
  </r>
  <r>
    <s v="ORD200195"/>
    <x v="181"/>
    <s v="C63619"/>
    <x v="3"/>
    <n v="3"/>
    <n v="619.21"/>
    <s v="801 Main St"/>
    <x v="0"/>
    <x v="1"/>
    <s v="TRK65385674"/>
    <n v="6"/>
    <s v="None"/>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39999999999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s v="None"/>
    <x v="2"/>
    <n v="442.17"/>
  </r>
  <r>
    <s v="ORD200206"/>
    <x v="162"/>
    <s v="C31072"/>
    <x v="5"/>
    <n v="4"/>
    <n v="229.1"/>
    <s v="729 Main St"/>
    <x v="3"/>
    <x v="2"/>
    <s v="TRK77172975"/>
    <n v="8"/>
    <s v="WINTER15"/>
    <x v="2"/>
    <n v="916.4"/>
  </r>
  <r>
    <s v="ORD200207"/>
    <x v="191"/>
    <s v="C54595"/>
    <x v="1"/>
    <n v="1"/>
    <n v="121.96"/>
    <s v="999 Main St"/>
    <x v="0"/>
    <x v="3"/>
    <s v="TRK44416659"/>
    <n v="3"/>
    <s v="None"/>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s v="None"/>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s v="None"/>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s v="None"/>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7999999999988"/>
  </r>
  <r>
    <s v="ORD200226"/>
    <x v="207"/>
    <s v="C31501"/>
    <x v="6"/>
    <n v="3"/>
    <n v="588.04999999999995"/>
    <s v="242 Main St"/>
    <x v="3"/>
    <x v="3"/>
    <s v="TRK93063929"/>
    <n v="8"/>
    <s v="None"/>
    <x v="0"/>
    <n v="1764.15"/>
  </r>
  <r>
    <s v="ORD200227"/>
    <x v="208"/>
    <s v="C93220"/>
    <x v="0"/>
    <n v="2"/>
    <n v="365.17"/>
    <s v="353 Main St"/>
    <x v="1"/>
    <x v="1"/>
    <s v="TRK89023251"/>
    <n v="4"/>
    <s v="FREESHIP"/>
    <x v="3"/>
    <n v="730.34"/>
  </r>
  <r>
    <s v="ORD200228"/>
    <x v="209"/>
    <s v="C57867"/>
    <x v="3"/>
    <n v="4"/>
    <n v="385.92"/>
    <s v="579 Main St"/>
    <x v="2"/>
    <x v="1"/>
    <s v="TRK92055007"/>
    <n v="8"/>
    <s v="None"/>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s v="None"/>
    <x v="3"/>
    <n v="223.3"/>
  </r>
  <r>
    <s v="ORD200246"/>
    <x v="225"/>
    <s v="C55354"/>
    <x v="6"/>
    <n v="2"/>
    <n v="342.11"/>
    <s v="164 Main St"/>
    <x v="3"/>
    <x v="0"/>
    <s v="TRK15439493"/>
    <n v="2"/>
    <s v="WINTER15"/>
    <x v="0"/>
    <n v="684.22"/>
  </r>
  <r>
    <s v="ORD200247"/>
    <x v="145"/>
    <s v="C14600"/>
    <x v="4"/>
    <n v="2"/>
    <n v="220.9"/>
    <s v="785 Main St"/>
    <x v="3"/>
    <x v="0"/>
    <s v="TRK84984764"/>
    <n v="4"/>
    <s v="None"/>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s v="None"/>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s v="None"/>
    <x v="0"/>
    <n v="789.56999999999994"/>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s v="None"/>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s v="None"/>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s v="None"/>
    <x v="1"/>
    <n v="2619.16"/>
  </r>
  <r>
    <s v="ORD200282"/>
    <x v="251"/>
    <s v="C30411"/>
    <x v="4"/>
    <n v="4"/>
    <n v="637.79"/>
    <s v="375 Main St"/>
    <x v="3"/>
    <x v="1"/>
    <s v="TRK71810536"/>
    <n v="9"/>
    <s v="FREESHIP"/>
    <x v="4"/>
    <n v="2551.16"/>
  </r>
  <r>
    <s v="ORD200283"/>
    <x v="252"/>
    <s v="C39638"/>
    <x v="5"/>
    <n v="4"/>
    <n v="540.33000000000004"/>
    <s v="990 Main St"/>
    <x v="4"/>
    <x v="0"/>
    <s v="TRK69745608"/>
    <n v="6"/>
    <s v="None"/>
    <x v="4"/>
    <n v="2161.3200000000002"/>
  </r>
  <r>
    <s v="ORD200284"/>
    <x v="223"/>
    <s v="C27203"/>
    <x v="5"/>
    <n v="5"/>
    <n v="208.17"/>
    <s v="516 Main St"/>
    <x v="2"/>
    <x v="2"/>
    <s v="TRK22023906"/>
    <n v="6"/>
    <s v="SAVE10"/>
    <x v="3"/>
    <n v="1040.8499999999999"/>
  </r>
  <r>
    <s v="ORD200285"/>
    <x v="69"/>
    <s v="C67583"/>
    <x v="1"/>
    <n v="1"/>
    <n v="338.31"/>
    <s v="974 Main St"/>
    <x v="1"/>
    <x v="3"/>
    <s v="TRK93281700"/>
    <n v="3"/>
    <s v="None"/>
    <x v="4"/>
    <n v="338.31"/>
  </r>
  <r>
    <s v="ORD200286"/>
    <x v="253"/>
    <s v="C70554"/>
    <x v="0"/>
    <n v="3"/>
    <n v="139.44999999999999"/>
    <s v="187 Main St"/>
    <x v="3"/>
    <x v="2"/>
    <s v="TRK61086952"/>
    <n v="8"/>
    <s v="WINTER15"/>
    <x v="4"/>
    <n v="418.35"/>
  </r>
  <r>
    <s v="ORD200287"/>
    <x v="254"/>
    <s v="C70437"/>
    <x v="3"/>
    <n v="4"/>
    <n v="655.17999999999995"/>
    <s v="630 Main St"/>
    <x v="1"/>
    <x v="0"/>
    <s v="TRK26628830"/>
    <n v="5"/>
    <s v="None"/>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s v="None"/>
    <x v="3"/>
    <n v="65.95"/>
  </r>
  <r>
    <s v="ORD200293"/>
    <x v="223"/>
    <s v="C33220"/>
    <x v="2"/>
    <n v="4"/>
    <n v="463.04"/>
    <s v="564 Main St"/>
    <x v="3"/>
    <x v="2"/>
    <s v="TRK40450219"/>
    <n v="9"/>
    <s v="None"/>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s v="None"/>
    <x v="2"/>
    <n v="1204.68"/>
  </r>
  <r>
    <s v="ORD200299"/>
    <x v="264"/>
    <s v="C30711"/>
    <x v="0"/>
    <n v="1"/>
    <n v="278.66000000000003"/>
    <s v="856 Main St"/>
    <x v="3"/>
    <x v="1"/>
    <s v="TRK42696593"/>
    <n v="2"/>
    <s v="FREESHIP"/>
    <x v="0"/>
    <n v="278.66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5737E-B96C-4109-B321-DEBDCC1CFD1C}" name="PaymentReferra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P10" firstHeaderRow="1" firstDataRow="2" firstDataCol="1"/>
  <pivotFields count="14">
    <pivotField showAll="0"/>
    <pivotField numFmtId="164" showAll="0">
      <items count="266">
        <item x="107"/>
        <item x="0"/>
        <item x="33"/>
        <item x="124"/>
        <item x="238"/>
        <item x="90"/>
        <item x="56"/>
        <item x="55"/>
        <item x="19"/>
        <item x="16"/>
        <item x="261"/>
        <item x="22"/>
        <item x="246"/>
        <item x="174"/>
        <item x="91"/>
        <item x="223"/>
        <item x="96"/>
        <item x="215"/>
        <item x="262"/>
        <item x="146"/>
        <item x="190"/>
        <item x="98"/>
        <item x="255"/>
        <item x="88"/>
        <item x="168"/>
        <item x="111"/>
        <item x="92"/>
        <item x="239"/>
        <item x="14"/>
        <item x="125"/>
        <item x="228"/>
        <item x="132"/>
        <item x="114"/>
        <item x="197"/>
        <item x="200"/>
        <item x="31"/>
        <item x="71"/>
        <item x="204"/>
        <item x="257"/>
        <item x="20"/>
        <item x="221"/>
        <item x="67"/>
        <item x="7"/>
        <item x="220"/>
        <item x="209"/>
        <item x="213"/>
        <item x="54"/>
        <item x="68"/>
        <item x="156"/>
        <item x="243"/>
        <item x="32"/>
        <item x="79"/>
        <item x="236"/>
        <item x="187"/>
        <item x="196"/>
        <item x="72"/>
        <item x="78"/>
        <item x="30"/>
        <item x="226"/>
        <item x="176"/>
        <item x="117"/>
        <item x="219"/>
        <item x="15"/>
        <item x="202"/>
        <item x="45"/>
        <item x="145"/>
        <item x="179"/>
        <item x="256"/>
        <item x="152"/>
        <item x="48"/>
        <item x="128"/>
        <item x="165"/>
        <item x="121"/>
        <item x="178"/>
        <item x="160"/>
        <item x="38"/>
        <item x="60"/>
        <item x="46"/>
        <item x="183"/>
        <item x="81"/>
        <item x="193"/>
        <item x="13"/>
        <item x="189"/>
        <item x="135"/>
        <item x="102"/>
        <item x="104"/>
        <item x="87"/>
        <item x="244"/>
        <item x="205"/>
        <item x="73"/>
        <item x="47"/>
        <item x="112"/>
        <item x="3"/>
        <item x="250"/>
        <item x="5"/>
        <item x="122"/>
        <item x="150"/>
        <item x="208"/>
        <item x="247"/>
        <item x="212"/>
        <item x="134"/>
        <item x="9"/>
        <item x="254"/>
        <item x="97"/>
        <item x="110"/>
        <item x="115"/>
        <item x="142"/>
        <item x="39"/>
        <item x="173"/>
        <item x="66"/>
        <item x="141"/>
        <item x="41"/>
        <item x="211"/>
        <item x="263"/>
        <item x="131"/>
        <item x="241"/>
        <item x="231"/>
        <item x="140"/>
        <item x="153"/>
        <item x="10"/>
        <item x="63"/>
        <item x="80"/>
        <item x="108"/>
        <item x="264"/>
        <item x="227"/>
        <item x="43"/>
        <item x="11"/>
        <item x="27"/>
        <item x="203"/>
        <item x="235"/>
        <item x="2"/>
        <item x="17"/>
        <item x="26"/>
        <item x="206"/>
        <item x="216"/>
        <item x="230"/>
        <item x="59"/>
        <item x="151"/>
        <item x="74"/>
        <item x="172"/>
        <item x="158"/>
        <item x="166"/>
        <item x="116"/>
        <item x="162"/>
        <item x="171"/>
        <item x="105"/>
        <item x="181"/>
        <item x="234"/>
        <item x="129"/>
        <item x="40"/>
        <item x="258"/>
        <item x="232"/>
        <item x="149"/>
        <item x="51"/>
        <item x="199"/>
        <item x="75"/>
        <item x="93"/>
        <item x="180"/>
        <item x="89"/>
        <item x="184"/>
        <item x="136"/>
        <item x="83"/>
        <item x="44"/>
        <item x="25"/>
        <item x="118"/>
        <item x="100"/>
        <item x="240"/>
        <item x="76"/>
        <item x="58"/>
        <item x="1"/>
        <item x="214"/>
        <item x="225"/>
        <item x="169"/>
        <item x="50"/>
        <item x="82"/>
        <item x="57"/>
        <item x="154"/>
        <item x="28"/>
        <item x="192"/>
        <item x="84"/>
        <item x="35"/>
        <item x="12"/>
        <item x="101"/>
        <item x="245"/>
        <item x="24"/>
        <item x="119"/>
        <item x="147"/>
        <item x="64"/>
        <item x="21"/>
        <item x="249"/>
        <item x="167"/>
        <item x="130"/>
        <item x="194"/>
        <item x="34"/>
        <item x="65"/>
        <item x="218"/>
        <item x="217"/>
        <item x="139"/>
        <item x="144"/>
        <item x="36"/>
        <item x="70"/>
        <item x="103"/>
        <item x="49"/>
        <item x="143"/>
        <item x="195"/>
        <item x="157"/>
        <item x="259"/>
        <item x="94"/>
        <item x="123"/>
        <item x="185"/>
        <item x="182"/>
        <item x="99"/>
        <item x="109"/>
        <item x="61"/>
        <item x="188"/>
        <item x="163"/>
        <item x="148"/>
        <item x="86"/>
        <item x="37"/>
        <item x="252"/>
        <item x="155"/>
        <item x="177"/>
        <item x="77"/>
        <item x="175"/>
        <item x="191"/>
        <item x="170"/>
        <item x="29"/>
        <item x="18"/>
        <item x="52"/>
        <item x="210"/>
        <item x="248"/>
        <item x="260"/>
        <item x="8"/>
        <item x="159"/>
        <item x="161"/>
        <item x="253"/>
        <item x="23"/>
        <item x="95"/>
        <item x="198"/>
        <item x="242"/>
        <item x="224"/>
        <item x="42"/>
        <item x="251"/>
        <item x="137"/>
        <item x="201"/>
        <item x="120"/>
        <item x="138"/>
        <item x="106"/>
        <item x="4"/>
        <item x="222"/>
        <item x="229"/>
        <item x="237"/>
        <item x="133"/>
        <item x="85"/>
        <item x="186"/>
        <item x="69"/>
        <item x="113"/>
        <item x="6"/>
        <item x="126"/>
        <item x="127"/>
        <item x="53"/>
        <item x="62"/>
        <item x="207"/>
        <item x="164"/>
        <item x="233"/>
        <item t="default"/>
      </items>
    </pivotField>
    <pivotField showAll="0"/>
    <pivotField showAll="0"/>
    <pivotField numFmtId="2" showAll="0"/>
    <pivotField numFmtId="166" showAll="0"/>
    <pivotField showAll="0"/>
    <pivotField axis="axisRow" showAll="0">
      <items count="6">
        <item x="4"/>
        <item x="2"/>
        <item x="0"/>
        <item x="3"/>
        <item x="1"/>
        <item t="default"/>
      </items>
    </pivotField>
    <pivotField showAll="0"/>
    <pivotField showAll="0"/>
    <pivotField numFmtId="2" showAll="0"/>
    <pivotField showAll="0"/>
    <pivotField axis="axisCol" showAll="0">
      <items count="6">
        <item x="2"/>
        <item x="3"/>
        <item x="4"/>
        <item x="0"/>
        <item x="1"/>
        <item t="default"/>
      </items>
    </pivotField>
    <pivotField dataField="1" numFmtId="166" showAll="0"/>
  </pivotFields>
  <rowFields count="1">
    <field x="7"/>
  </rowFields>
  <rowItems count="6">
    <i>
      <x/>
    </i>
    <i>
      <x v="1"/>
    </i>
    <i>
      <x v="2"/>
    </i>
    <i>
      <x v="3"/>
    </i>
    <i>
      <x v="4"/>
    </i>
    <i t="grand">
      <x/>
    </i>
  </rowItems>
  <colFields count="1">
    <field x="12"/>
  </colFields>
  <colItems count="6">
    <i>
      <x/>
    </i>
    <i>
      <x v="1"/>
    </i>
    <i>
      <x v="2"/>
    </i>
    <i>
      <x v="3"/>
    </i>
    <i>
      <x v="4"/>
    </i>
    <i t="grand">
      <x/>
    </i>
  </colItems>
  <dataFields count="1">
    <dataField name="Sum of TotalPrice" fld="1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17CD1A-8BF7-4D20-9F12-FD14B6740FE9}" name="Order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F3:H9" firstHeaderRow="0" firstDataRow="1" firstDataCol="1"/>
  <pivotFields count="14">
    <pivotField dataField="1" showAll="0"/>
    <pivotField numFmtId="164" showAll="0">
      <items count="266">
        <item x="107"/>
        <item x="0"/>
        <item x="33"/>
        <item x="124"/>
        <item x="238"/>
        <item x="90"/>
        <item x="56"/>
        <item x="55"/>
        <item x="19"/>
        <item x="16"/>
        <item x="261"/>
        <item x="22"/>
        <item x="246"/>
        <item x="174"/>
        <item x="91"/>
        <item x="223"/>
        <item x="96"/>
        <item x="215"/>
        <item x="262"/>
        <item x="146"/>
        <item x="190"/>
        <item x="98"/>
        <item x="255"/>
        <item x="88"/>
        <item x="168"/>
        <item x="111"/>
        <item x="92"/>
        <item x="239"/>
        <item x="14"/>
        <item x="125"/>
        <item x="228"/>
        <item x="132"/>
        <item x="114"/>
        <item x="197"/>
        <item x="200"/>
        <item x="31"/>
        <item x="71"/>
        <item x="204"/>
        <item x="257"/>
        <item x="20"/>
        <item x="221"/>
        <item x="67"/>
        <item x="7"/>
        <item x="220"/>
        <item x="209"/>
        <item x="213"/>
        <item x="54"/>
        <item x="68"/>
        <item x="156"/>
        <item x="243"/>
        <item x="32"/>
        <item x="79"/>
        <item x="236"/>
        <item x="187"/>
        <item x="196"/>
        <item x="72"/>
        <item x="78"/>
        <item x="30"/>
        <item x="226"/>
        <item x="176"/>
        <item x="117"/>
        <item x="219"/>
        <item x="15"/>
        <item x="202"/>
        <item x="45"/>
        <item x="145"/>
        <item x="179"/>
        <item x="256"/>
        <item x="152"/>
        <item x="48"/>
        <item x="128"/>
        <item x="165"/>
        <item x="121"/>
        <item x="178"/>
        <item x="160"/>
        <item x="38"/>
        <item x="60"/>
        <item x="46"/>
        <item x="183"/>
        <item x="81"/>
        <item x="193"/>
        <item x="13"/>
        <item x="189"/>
        <item x="135"/>
        <item x="102"/>
        <item x="104"/>
        <item x="87"/>
        <item x="244"/>
        <item x="205"/>
        <item x="73"/>
        <item x="47"/>
        <item x="112"/>
        <item x="3"/>
        <item x="250"/>
        <item x="5"/>
        <item x="122"/>
        <item x="150"/>
        <item x="208"/>
        <item x="247"/>
        <item x="212"/>
        <item x="134"/>
        <item x="9"/>
        <item x="254"/>
        <item x="97"/>
        <item x="110"/>
        <item x="115"/>
        <item x="142"/>
        <item x="39"/>
        <item x="173"/>
        <item x="66"/>
        <item x="141"/>
        <item x="41"/>
        <item x="211"/>
        <item x="263"/>
        <item x="131"/>
        <item x="241"/>
        <item x="231"/>
        <item x="140"/>
        <item x="153"/>
        <item x="10"/>
        <item x="63"/>
        <item x="80"/>
        <item x="108"/>
        <item x="264"/>
        <item x="227"/>
        <item x="43"/>
        <item x="11"/>
        <item x="27"/>
        <item x="203"/>
        <item x="235"/>
        <item x="2"/>
        <item x="17"/>
        <item x="26"/>
        <item x="206"/>
        <item x="216"/>
        <item x="230"/>
        <item x="59"/>
        <item x="151"/>
        <item x="74"/>
        <item x="172"/>
        <item x="158"/>
        <item x="166"/>
        <item x="116"/>
        <item x="162"/>
        <item x="171"/>
        <item x="105"/>
        <item x="181"/>
        <item x="234"/>
        <item x="129"/>
        <item x="40"/>
        <item x="258"/>
        <item x="232"/>
        <item x="149"/>
        <item x="51"/>
        <item x="199"/>
        <item x="75"/>
        <item x="93"/>
        <item x="180"/>
        <item x="89"/>
        <item x="184"/>
        <item x="136"/>
        <item x="83"/>
        <item x="44"/>
        <item x="25"/>
        <item x="118"/>
        <item x="100"/>
        <item x="240"/>
        <item x="76"/>
        <item x="58"/>
        <item x="1"/>
        <item x="214"/>
        <item x="225"/>
        <item x="169"/>
        <item x="50"/>
        <item x="82"/>
        <item x="57"/>
        <item x="154"/>
        <item x="28"/>
        <item x="192"/>
        <item x="84"/>
        <item x="35"/>
        <item x="12"/>
        <item x="101"/>
        <item x="245"/>
        <item x="24"/>
        <item x="119"/>
        <item x="147"/>
        <item x="64"/>
        <item x="21"/>
        <item x="249"/>
        <item x="167"/>
        <item x="130"/>
        <item x="194"/>
        <item x="34"/>
        <item x="65"/>
        <item x="218"/>
        <item x="217"/>
        <item x="139"/>
        <item x="144"/>
        <item x="36"/>
        <item x="70"/>
        <item x="103"/>
        <item x="49"/>
        <item x="143"/>
        <item x="195"/>
        <item x="157"/>
        <item x="259"/>
        <item x="94"/>
        <item x="123"/>
        <item x="185"/>
        <item x="182"/>
        <item x="99"/>
        <item x="109"/>
        <item x="61"/>
        <item x="188"/>
        <item x="163"/>
        <item x="148"/>
        <item x="86"/>
        <item x="37"/>
        <item x="252"/>
        <item x="155"/>
        <item x="177"/>
        <item x="77"/>
        <item x="175"/>
        <item x="191"/>
        <item x="170"/>
        <item x="29"/>
        <item x="18"/>
        <item x="52"/>
        <item x="210"/>
        <item x="248"/>
        <item x="260"/>
        <item x="8"/>
        <item x="159"/>
        <item x="161"/>
        <item x="253"/>
        <item x="23"/>
        <item x="95"/>
        <item x="198"/>
        <item x="242"/>
        <item x="224"/>
        <item x="42"/>
        <item x="251"/>
        <item x="137"/>
        <item x="201"/>
        <item x="120"/>
        <item x="138"/>
        <item x="106"/>
        <item x="4"/>
        <item x="222"/>
        <item x="229"/>
        <item x="237"/>
        <item x="133"/>
        <item x="85"/>
        <item x="186"/>
        <item x="69"/>
        <item x="113"/>
        <item x="6"/>
        <item x="126"/>
        <item x="127"/>
        <item x="53"/>
        <item x="62"/>
        <item x="207"/>
        <item x="164"/>
        <item x="233"/>
        <item t="default"/>
      </items>
    </pivotField>
    <pivotField showAll="0"/>
    <pivotField showAll="0"/>
    <pivotField numFmtId="2" showAll="0"/>
    <pivotField numFmtId="166"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numFmtId="2" showAll="0"/>
    <pivotField showAll="0"/>
    <pivotField showAll="0">
      <items count="6">
        <item x="2"/>
        <item x="3"/>
        <item x="4"/>
        <item x="0"/>
        <item x="1"/>
        <item t="default"/>
      </items>
    </pivotField>
    <pivotField dataField="1" numFmtId="166" showAll="0"/>
  </pivotFields>
  <rowFields count="1">
    <field x="8"/>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TotalPrice" fld="13" baseField="0" baseItem="0" numFmtId="166"/>
  </dataFields>
  <chartFormats count="2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38" series="1">
      <pivotArea type="data" outline="0" fieldPosition="0">
        <references count="1">
          <reference field="4294967294" count="1" selected="0">
            <x v="0"/>
          </reference>
        </references>
      </pivotArea>
    </chartFormat>
    <chartFormat chart="6" format="39">
      <pivotArea type="data" outline="0" fieldPosition="0">
        <references count="2">
          <reference field="4294967294" count="1" selected="0">
            <x v="0"/>
          </reference>
          <reference field="8" count="1" selected="0">
            <x v="0"/>
          </reference>
        </references>
      </pivotArea>
    </chartFormat>
    <chartFormat chart="6" format="40">
      <pivotArea type="data" outline="0" fieldPosition="0">
        <references count="2">
          <reference field="4294967294" count="1" selected="0">
            <x v="0"/>
          </reference>
          <reference field="8" count="1" selected="0">
            <x v="1"/>
          </reference>
        </references>
      </pivotArea>
    </chartFormat>
    <chartFormat chart="6" format="41">
      <pivotArea type="data" outline="0" fieldPosition="0">
        <references count="2">
          <reference field="4294967294" count="1" selected="0">
            <x v="0"/>
          </reference>
          <reference field="8" count="1" selected="0">
            <x v="2"/>
          </reference>
        </references>
      </pivotArea>
    </chartFormat>
    <chartFormat chart="6" format="42">
      <pivotArea type="data" outline="0" fieldPosition="0">
        <references count="2">
          <reference field="4294967294" count="1" selected="0">
            <x v="0"/>
          </reference>
          <reference field="8" count="1" selected="0">
            <x v="3"/>
          </reference>
        </references>
      </pivotArea>
    </chartFormat>
    <chartFormat chart="6" format="43">
      <pivotArea type="data" outline="0" fieldPosition="0">
        <references count="2">
          <reference field="4294967294" count="1" selected="0">
            <x v="0"/>
          </reference>
          <reference field="8" count="1" selected="0">
            <x v="4"/>
          </reference>
        </references>
      </pivotArea>
    </chartFormat>
    <chartFormat chart="6" format="44" series="1">
      <pivotArea type="data" outline="0" fieldPosition="0">
        <references count="1">
          <reference field="4294967294" count="1" selected="0">
            <x v="1"/>
          </reference>
        </references>
      </pivotArea>
    </chartFormat>
    <chartFormat chart="6" format="45">
      <pivotArea type="data" outline="0" fieldPosition="0">
        <references count="2">
          <reference field="4294967294" count="1" selected="0">
            <x v="1"/>
          </reference>
          <reference field="8" count="1" selected="0">
            <x v="0"/>
          </reference>
        </references>
      </pivotArea>
    </chartFormat>
    <chartFormat chart="6" format="46">
      <pivotArea type="data" outline="0" fieldPosition="0">
        <references count="2">
          <reference field="4294967294" count="1" selected="0">
            <x v="1"/>
          </reference>
          <reference field="8" count="1" selected="0">
            <x v="1"/>
          </reference>
        </references>
      </pivotArea>
    </chartFormat>
    <chartFormat chart="6" format="47">
      <pivotArea type="data" outline="0" fieldPosition="0">
        <references count="2">
          <reference field="4294967294" count="1" selected="0">
            <x v="1"/>
          </reference>
          <reference field="8" count="1" selected="0">
            <x v="2"/>
          </reference>
        </references>
      </pivotArea>
    </chartFormat>
    <chartFormat chart="6" format="48">
      <pivotArea type="data" outline="0" fieldPosition="0">
        <references count="2">
          <reference field="4294967294" count="1" selected="0">
            <x v="1"/>
          </reference>
          <reference field="8" count="1" selected="0">
            <x v="3"/>
          </reference>
        </references>
      </pivotArea>
    </chartFormat>
    <chartFormat chart="6" format="49">
      <pivotArea type="data" outline="0" fieldPosition="0">
        <references count="2">
          <reference field="4294967294" count="1" selected="0">
            <x v="1"/>
          </reference>
          <reference field="8" count="1" selected="0">
            <x v="4"/>
          </reference>
        </references>
      </pivotArea>
    </chartFormat>
    <chartFormat chart="8" format="62" series="1">
      <pivotArea type="data" outline="0" fieldPosition="0">
        <references count="1">
          <reference field="4294967294" count="1" selected="0">
            <x v="0"/>
          </reference>
        </references>
      </pivotArea>
    </chartFormat>
    <chartFormat chart="8" format="63">
      <pivotArea type="data" outline="0" fieldPosition="0">
        <references count="2">
          <reference field="4294967294" count="1" selected="0">
            <x v="0"/>
          </reference>
          <reference field="8" count="1" selected="0">
            <x v="0"/>
          </reference>
        </references>
      </pivotArea>
    </chartFormat>
    <chartFormat chart="8" format="64">
      <pivotArea type="data" outline="0" fieldPosition="0">
        <references count="2">
          <reference field="4294967294" count="1" selected="0">
            <x v="0"/>
          </reference>
          <reference field="8" count="1" selected="0">
            <x v="1"/>
          </reference>
        </references>
      </pivotArea>
    </chartFormat>
    <chartFormat chart="8" format="65">
      <pivotArea type="data" outline="0" fieldPosition="0">
        <references count="2">
          <reference field="4294967294" count="1" selected="0">
            <x v="0"/>
          </reference>
          <reference field="8" count="1" selected="0">
            <x v="2"/>
          </reference>
        </references>
      </pivotArea>
    </chartFormat>
    <chartFormat chart="8" format="66">
      <pivotArea type="data" outline="0" fieldPosition="0">
        <references count="2">
          <reference field="4294967294" count="1" selected="0">
            <x v="0"/>
          </reference>
          <reference field="8" count="1" selected="0">
            <x v="3"/>
          </reference>
        </references>
      </pivotArea>
    </chartFormat>
    <chartFormat chart="8" format="67">
      <pivotArea type="data" outline="0" fieldPosition="0">
        <references count="2">
          <reference field="4294967294" count="1" selected="0">
            <x v="0"/>
          </reference>
          <reference field="8" count="1" selected="0">
            <x v="4"/>
          </reference>
        </references>
      </pivotArea>
    </chartFormat>
    <chartFormat chart="8" format="68" series="1">
      <pivotArea type="data" outline="0" fieldPosition="0">
        <references count="1">
          <reference field="4294967294" count="1" selected="0">
            <x v="1"/>
          </reference>
        </references>
      </pivotArea>
    </chartFormat>
    <chartFormat chart="8" format="69">
      <pivotArea type="data" outline="0" fieldPosition="0">
        <references count="2">
          <reference field="4294967294" count="1" selected="0">
            <x v="1"/>
          </reference>
          <reference field="8" count="1" selected="0">
            <x v="0"/>
          </reference>
        </references>
      </pivotArea>
    </chartFormat>
    <chartFormat chart="8" format="70">
      <pivotArea type="data" outline="0" fieldPosition="0">
        <references count="2">
          <reference field="4294967294" count="1" selected="0">
            <x v="1"/>
          </reference>
          <reference field="8" count="1" selected="0">
            <x v="1"/>
          </reference>
        </references>
      </pivotArea>
    </chartFormat>
    <chartFormat chart="8" format="71">
      <pivotArea type="data" outline="0" fieldPosition="0">
        <references count="2">
          <reference field="4294967294" count="1" selected="0">
            <x v="1"/>
          </reference>
          <reference field="8" count="1" selected="0">
            <x v="2"/>
          </reference>
        </references>
      </pivotArea>
    </chartFormat>
    <chartFormat chart="8" format="72">
      <pivotArea type="data" outline="0" fieldPosition="0">
        <references count="2">
          <reference field="4294967294" count="1" selected="0">
            <x v="1"/>
          </reference>
          <reference field="8" count="1" selected="0">
            <x v="3"/>
          </reference>
        </references>
      </pivotArea>
    </chartFormat>
    <chartFormat chart="8" format="73">
      <pivotArea type="data" outline="0" fieldPosition="0">
        <references count="2">
          <reference field="4294967294" count="1" selected="0">
            <x v="1"/>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6CDD5E-3D49-4672-A1A3-EF40F9109761}" name="Product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11" firstHeaderRow="0" firstDataRow="1" firstDataCol="1"/>
  <pivotFields count="14">
    <pivotField dataField="1" showAll="0"/>
    <pivotField numFmtId="164" showAll="0">
      <items count="266">
        <item x="107"/>
        <item x="0"/>
        <item x="33"/>
        <item x="124"/>
        <item x="238"/>
        <item x="90"/>
        <item x="56"/>
        <item x="55"/>
        <item x="19"/>
        <item x="16"/>
        <item x="261"/>
        <item x="22"/>
        <item x="246"/>
        <item x="174"/>
        <item x="91"/>
        <item x="223"/>
        <item x="96"/>
        <item x="215"/>
        <item x="262"/>
        <item x="146"/>
        <item x="190"/>
        <item x="98"/>
        <item x="255"/>
        <item x="88"/>
        <item x="168"/>
        <item x="111"/>
        <item x="92"/>
        <item x="239"/>
        <item x="14"/>
        <item x="125"/>
        <item x="228"/>
        <item x="132"/>
        <item x="114"/>
        <item x="197"/>
        <item x="200"/>
        <item x="31"/>
        <item x="71"/>
        <item x="204"/>
        <item x="257"/>
        <item x="20"/>
        <item x="221"/>
        <item x="67"/>
        <item x="7"/>
        <item x="220"/>
        <item x="209"/>
        <item x="213"/>
        <item x="54"/>
        <item x="68"/>
        <item x="156"/>
        <item x="243"/>
        <item x="32"/>
        <item x="79"/>
        <item x="236"/>
        <item x="187"/>
        <item x="196"/>
        <item x="72"/>
        <item x="78"/>
        <item x="30"/>
        <item x="226"/>
        <item x="176"/>
        <item x="117"/>
        <item x="219"/>
        <item x="15"/>
        <item x="202"/>
        <item x="45"/>
        <item x="145"/>
        <item x="179"/>
        <item x="256"/>
        <item x="152"/>
        <item x="48"/>
        <item x="128"/>
        <item x="165"/>
        <item x="121"/>
        <item x="178"/>
        <item x="160"/>
        <item x="38"/>
        <item x="60"/>
        <item x="46"/>
        <item x="183"/>
        <item x="81"/>
        <item x="193"/>
        <item x="13"/>
        <item x="189"/>
        <item x="135"/>
        <item x="102"/>
        <item x="104"/>
        <item x="87"/>
        <item x="244"/>
        <item x="205"/>
        <item x="73"/>
        <item x="47"/>
        <item x="112"/>
        <item x="3"/>
        <item x="250"/>
        <item x="5"/>
        <item x="122"/>
        <item x="150"/>
        <item x="208"/>
        <item x="247"/>
        <item x="212"/>
        <item x="134"/>
        <item x="9"/>
        <item x="254"/>
        <item x="97"/>
        <item x="110"/>
        <item x="115"/>
        <item x="142"/>
        <item x="39"/>
        <item x="173"/>
        <item x="66"/>
        <item x="141"/>
        <item x="41"/>
        <item x="211"/>
        <item x="263"/>
        <item x="131"/>
        <item x="241"/>
        <item x="231"/>
        <item x="140"/>
        <item x="153"/>
        <item x="10"/>
        <item x="63"/>
        <item x="80"/>
        <item x="108"/>
        <item x="264"/>
        <item x="227"/>
        <item x="43"/>
        <item x="11"/>
        <item x="27"/>
        <item x="203"/>
        <item x="235"/>
        <item x="2"/>
        <item x="17"/>
        <item x="26"/>
        <item x="206"/>
        <item x="216"/>
        <item x="230"/>
        <item x="59"/>
        <item x="151"/>
        <item x="74"/>
        <item x="172"/>
        <item x="158"/>
        <item x="166"/>
        <item x="116"/>
        <item x="162"/>
        <item x="171"/>
        <item x="105"/>
        <item x="181"/>
        <item x="234"/>
        <item x="129"/>
        <item x="40"/>
        <item x="258"/>
        <item x="232"/>
        <item x="149"/>
        <item x="51"/>
        <item x="199"/>
        <item x="75"/>
        <item x="93"/>
        <item x="180"/>
        <item x="89"/>
        <item x="184"/>
        <item x="136"/>
        <item x="83"/>
        <item x="44"/>
        <item x="25"/>
        <item x="118"/>
        <item x="100"/>
        <item x="240"/>
        <item x="76"/>
        <item x="58"/>
        <item x="1"/>
        <item x="214"/>
        <item x="225"/>
        <item x="169"/>
        <item x="50"/>
        <item x="82"/>
        <item x="57"/>
        <item x="154"/>
        <item x="28"/>
        <item x="192"/>
        <item x="84"/>
        <item x="35"/>
        <item x="12"/>
        <item x="101"/>
        <item x="245"/>
        <item x="24"/>
        <item x="119"/>
        <item x="147"/>
        <item x="64"/>
        <item x="21"/>
        <item x="249"/>
        <item x="167"/>
        <item x="130"/>
        <item x="194"/>
        <item x="34"/>
        <item x="65"/>
        <item x="218"/>
        <item x="217"/>
        <item x="139"/>
        <item x="144"/>
        <item x="36"/>
        <item x="70"/>
        <item x="103"/>
        <item x="49"/>
        <item x="143"/>
        <item x="195"/>
        <item x="157"/>
        <item x="259"/>
        <item x="94"/>
        <item x="123"/>
        <item x="185"/>
        <item x="182"/>
        <item x="99"/>
        <item x="109"/>
        <item x="61"/>
        <item x="188"/>
        <item x="163"/>
        <item x="148"/>
        <item x="86"/>
        <item x="37"/>
        <item x="252"/>
        <item x="155"/>
        <item x="177"/>
        <item x="77"/>
        <item x="175"/>
        <item x="191"/>
        <item x="170"/>
        <item x="29"/>
        <item x="18"/>
        <item x="52"/>
        <item x="210"/>
        <item x="248"/>
        <item x="260"/>
        <item x="8"/>
        <item x="159"/>
        <item x="161"/>
        <item x="253"/>
        <item x="23"/>
        <item x="95"/>
        <item x="198"/>
        <item x="242"/>
        <item x="224"/>
        <item x="42"/>
        <item x="251"/>
        <item x="137"/>
        <item x="201"/>
        <item x="120"/>
        <item x="138"/>
        <item x="106"/>
        <item x="4"/>
        <item x="222"/>
        <item x="229"/>
        <item x="237"/>
        <item x="133"/>
        <item x="85"/>
        <item x="186"/>
        <item x="69"/>
        <item x="113"/>
        <item x="6"/>
        <item x="126"/>
        <item x="127"/>
        <item x="53"/>
        <item x="62"/>
        <item x="207"/>
        <item x="164"/>
        <item x="233"/>
        <item t="default"/>
      </items>
    </pivotField>
    <pivotField showAll="0"/>
    <pivotField axis="axisRow" showAll="0">
      <items count="8">
        <item sd="0" x="3"/>
        <item sd="0" x="6"/>
        <item sd="0" x="5"/>
        <item sd="0" x="0"/>
        <item sd="0" x="1"/>
        <item sd="0" x="4"/>
        <item sd="0" x="2"/>
        <item t="default"/>
      </items>
    </pivotField>
    <pivotField dataField="1" numFmtId="2" showAll="0"/>
    <pivotField numFmtId="166" showAll="0"/>
    <pivotField showAll="0"/>
    <pivotField axis="axisRow" showAll="0">
      <items count="6">
        <item x="4"/>
        <item x="2"/>
        <item x="0"/>
        <item x="3"/>
        <item x="1"/>
        <item t="default"/>
      </items>
    </pivotField>
    <pivotField axis="axisRow" showAll="0">
      <items count="6">
        <item sd="0" x="1"/>
        <item x="3"/>
        <item x="4"/>
        <item x="2"/>
        <item x="0"/>
        <item t="default"/>
      </items>
    </pivotField>
    <pivotField showAll="0"/>
    <pivotField numFmtId="2" showAll="0"/>
    <pivotField showAll="0"/>
    <pivotField showAll="0">
      <items count="6">
        <item x="2"/>
        <item x="3"/>
        <item x="4"/>
        <item x="0"/>
        <item x="1"/>
        <item t="default"/>
      </items>
    </pivotField>
    <pivotField dataField="1" numFmtId="166" showAll="0"/>
  </pivotFields>
  <rowFields count="3">
    <field x="3"/>
    <field x="8"/>
    <field x="7"/>
  </rowFields>
  <rowItems count="8">
    <i>
      <x/>
    </i>
    <i>
      <x v="1"/>
    </i>
    <i>
      <x v="2"/>
    </i>
    <i>
      <x v="3"/>
    </i>
    <i>
      <x v="4"/>
    </i>
    <i>
      <x v="5"/>
    </i>
    <i>
      <x v="6"/>
    </i>
    <i t="grand">
      <x/>
    </i>
  </rowItems>
  <colFields count="1">
    <field x="-2"/>
  </colFields>
  <colItems count="3">
    <i>
      <x/>
    </i>
    <i i="1">
      <x v="1"/>
    </i>
    <i i="2">
      <x v="2"/>
    </i>
  </colItems>
  <dataFields count="3">
    <dataField name="Sum of TotalPrice" fld="13" baseField="0" baseItem="0" numFmtId="166"/>
    <dataField name="Sum of Quantity" fld="4" baseField="0" baseItem="0" numFmtId="2"/>
    <dataField name="Count of OrderID" fld="0" subtotal="count" baseField="0" baseItem="0"/>
  </dataFields>
  <formats count="6">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grandRow="1" outline="0" fieldPosition="0"/>
    </format>
    <format dxfId="4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FBD781A-EC9C-491A-93F6-C9DC8B9AC2C7}" sourceName="PaymentMethod">
  <pivotTables>
    <pivotTable tabId="9" name="ProductPerformance"/>
    <pivotTable tabId="9" name="OrderStatus"/>
    <pivotTable tabId="9" name="PaymentReferral"/>
  </pivotTables>
  <data>
    <tabular pivotCacheId="1490545792">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327237A8-0135-484F-A3EB-1DDEDAB641A2}" sourceName="ReferralSource">
  <pivotTables>
    <pivotTable tabId="9" name="ProductPerformance"/>
    <pivotTable tabId="9" name="OrderStatus"/>
    <pivotTable tabId="9" name="PaymentReferral"/>
  </pivotTables>
  <data>
    <tabular pivotCacheId="1490545792">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B7D20060-4AA9-429E-A78A-D75603988282}" cache="Slicer_PaymentMethod" caption="PaymentMethod" rowHeight="257175"/>
  <slicer name="ReferralSource 1" xr10:uid="{DDDC98D9-C28E-4264-B807-7DB57958EE4B}" cache="Slicer_ReferralSource" caption="ReferralSourc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FD453E-3AD1-4DEA-9B3C-49FAA9668F5C}" name="Table1" displayName="Table1" ref="A1:N301" totalsRowShown="0" headerRowDxfId="47" dataDxfId="45" headerRowBorderDxfId="46" tableBorderDxfId="44">
  <autoFilter ref="A1:N301" xr:uid="{EDFD453E-3AD1-4DEA-9B3C-49FAA9668F5C}"/>
  <tableColumns count="14">
    <tableColumn id="1" xr3:uid="{181A6503-DB60-4234-AF5E-EF50D7E5590F}" name="OrderID" dataDxfId="43"/>
    <tableColumn id="2" xr3:uid="{EB016ED4-83C0-4381-A2FE-0C86E078C053}" name="Date" dataDxfId="42"/>
    <tableColumn id="3" xr3:uid="{41691BFF-2223-4B4C-992C-7313584D3D41}" name="CustomerID" dataDxfId="41"/>
    <tableColumn id="4" xr3:uid="{0A173FC1-537A-4A3E-8060-0A3B67512754}" name="Product" dataDxfId="40"/>
    <tableColumn id="5" xr3:uid="{486B902C-EF59-4D31-AADD-F3D414FD046A}" name="Quantity" dataDxfId="39"/>
    <tableColumn id="6" xr3:uid="{47E92A75-F2D9-4C8B-A71E-755460AE18C4}" name="UnitPrice" dataDxfId="38"/>
    <tableColumn id="7" xr3:uid="{910CA313-6A2F-4035-9353-34E646290A7D}" name="ShippingAddress" dataDxfId="37"/>
    <tableColumn id="8" xr3:uid="{397AE7AB-2E7A-4B5B-96B5-62CF631A12B8}" name="PaymentMethod" dataDxfId="36"/>
    <tableColumn id="9" xr3:uid="{A81FBD80-C80F-4032-86B7-0B6DCB5C61A9}" name="OrderStatus" dataDxfId="35"/>
    <tableColumn id="10" xr3:uid="{5097845B-2128-462D-82FE-EA5018AB71D8}" name="TrackingNumber" dataDxfId="34"/>
    <tableColumn id="11" xr3:uid="{E49EA36A-19A3-4016-9BFF-3A225EA046EC}" name="ItemsInCart" dataDxfId="33"/>
    <tableColumn id="12" xr3:uid="{60D11A65-D008-432A-ADC9-06FF18090BE5}" name="CouponCode" dataDxfId="32"/>
    <tableColumn id="13" xr3:uid="{EBEE88D1-B914-4EBC-9340-0F23F2EE8984}" name="ReferralSource" dataDxfId="31"/>
    <tableColumn id="14" xr3:uid="{A56833C2-65C1-43A5-9A09-2ED017814366}" name="TotalPrice"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2C1E27-5BAE-4AB1-97E2-1FE88CB171DB}" name="SalesData" displayName="SalesData" ref="A1:N301" totalsRowShown="0" headerRowDxfId="29" dataDxfId="27" headerRowBorderDxfId="28" tableBorderDxfId="26">
  <autoFilter ref="A1:N301" xr:uid="{872C1E27-5BAE-4AB1-97E2-1FE88CB171DB}"/>
  <tableColumns count="14">
    <tableColumn id="1" xr3:uid="{49D91B71-F760-482A-8104-DD0ECAF7D809}" name="OrderID" dataDxfId="25"/>
    <tableColumn id="2" xr3:uid="{FCC3DE6B-16EE-4969-8EC7-5E9590F7CF2E}" name="Date" dataDxfId="24"/>
    <tableColumn id="3" xr3:uid="{340FF38E-79E0-4B9E-BF8E-7CDFD16693ED}" name="CustomerID" dataDxfId="23"/>
    <tableColumn id="4" xr3:uid="{2E80BCB3-A0A6-45EB-9D61-312E7ADBE17B}" name="Product" dataDxfId="22"/>
    <tableColumn id="5" xr3:uid="{36DC60CD-346E-4E80-9771-B8FB7B760F05}" name="Quantity" dataDxfId="21"/>
    <tableColumn id="6" xr3:uid="{CAA87392-4A85-467F-9D23-EEDDE1912C5E}" name="UnitPrice" dataDxfId="20"/>
    <tableColumn id="7" xr3:uid="{9C7E20F6-918E-4709-B8DB-4E15D391CA2F}" name="ShippingAddress" dataDxfId="19"/>
    <tableColumn id="8" xr3:uid="{6CFE9F0A-5BD6-4ED8-96AF-3C0072F952F7}" name="PaymentMethod" dataDxfId="18"/>
    <tableColumn id="9" xr3:uid="{9F5C1F1F-680A-4F37-8479-4539AD27D02E}" name="OrderStatus" dataDxfId="17"/>
    <tableColumn id="10" xr3:uid="{E3B919E1-8C7F-4240-8211-4592CF0C3889}" name="TrackingNumber" dataDxfId="16"/>
    <tableColumn id="11" xr3:uid="{14CE7643-93F9-4AAF-AC4B-363B6BFC39D2}" name="ItemsInCart" dataDxfId="15"/>
    <tableColumn id="12" xr3:uid="{39D1C9EB-FA34-44ED-8F08-0681828A861A}" name="CouponCode" dataDxfId="14"/>
    <tableColumn id="13" xr3:uid="{4B761566-3FF1-468B-872A-B5D2A7BE9384}" name="ReferralSource" dataDxfId="13"/>
    <tableColumn id="14" xr3:uid="{FAA4CD6F-8C3E-47AF-B954-E0D3635637DD}" name="TotalPrice"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87348E-AF3A-465C-9BCF-C86F2EF7F334}" name="Table3" displayName="Table3" ref="A1:D2" totalsRowShown="0" headerRowDxfId="11" dataDxfId="9" headerRowBorderDxfId="10" tableBorderDxfId="8" totalsRowBorderDxfId="7">
  <autoFilter ref="A1:D2" xr:uid="{DC87348E-AF3A-465C-9BCF-C86F2EF7F334}"/>
  <tableColumns count="4">
    <tableColumn id="1" xr3:uid="{E0AE990E-8DB1-4887-816A-8CF9D8320071}" name="Unit Price for Order(Vlookup)" dataDxfId="6">
      <calculatedColumnFormula>VLOOKUP("ORD200000",'Cleaned Data'!A:N,6,FALSE)</calculatedColumnFormula>
    </tableColumn>
    <tableColumn id="2" xr3:uid="{FDA2AD66-FF52-4962-B3AD-D9D69481CDE8}" name="Order Status by Customer ID(Index-Match)" dataDxfId="5">
      <calculatedColumnFormula>INDEX('Cleaned Data'!I:I,MATCH("C72649",'Cleaned Data'!C:C,0))</calculatedColumnFormula>
    </tableColumn>
    <tableColumn id="3" xr3:uid="{CC2CF825-4578-438F-A8C4-879D03B29FD3}" name="Discount Eligibility(If Conditions)" dataDxfId="4">
      <calculatedColumnFormula>IF('Cleaned Data'!L2&lt;&gt;"None","Discount Applied","No Discount")</calculatedColumnFormula>
    </tableColumn>
    <tableColumn id="4" xr3:uid="{0324B5A9-4F5E-4F01-9515-1A364C8E6F3B}" name="Order Priority(Nested Functions)" dataDxfId="3">
      <calculatedColumnFormula>IF(AND('Cleaned Data'!N2&gt;2000,'Cleaned Data'!I2="Shipped"),"High Value-In Transit",IF(OR('Cleaned Data'!I2="Cancelled",'Cleaned Data'!I2="Returned"),"Revenue Risk","Standard Order"))</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2D77A7B-DBBB-4EFB-805F-80E459646277}" sourceName="Date">
  <pivotTables>
    <pivotTable tabId="9" name="ProductPerformance"/>
    <pivotTable tabId="9" name="OrderStatus"/>
    <pivotTable tabId="9" name="PaymentReferral"/>
  </pivotTables>
  <state minimalRefreshVersion="6" lastRefreshVersion="6" pivotCacheId="149054579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A3E4858-1F5B-42D1-A531-D69D150D8D41}" cache="NativeTimeline_Date" caption="DateRang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4606-4380-448C-B14B-A2E73B144CC8}">
  <dimension ref="A1:N301"/>
  <sheetViews>
    <sheetView topLeftCell="G282" zoomScale="90" zoomScaleNormal="90" workbookViewId="0">
      <selection activeCell="I297" sqref="I297"/>
    </sheetView>
  </sheetViews>
  <sheetFormatPr defaultColWidth="25.7109375" defaultRowHeight="20.100000000000001" customHeight="1"/>
  <cols>
    <col min="1" max="4" width="25.7109375" style="1"/>
    <col min="5" max="5" width="25.7109375" style="5"/>
    <col min="6" max="6" width="25.7109375" style="7"/>
    <col min="7" max="10" width="25.7109375" style="1"/>
    <col min="11" max="11" width="25.7109375" style="5"/>
    <col min="12" max="13" width="25.7109375" style="1"/>
    <col min="14" max="14" width="25.7109375" style="7"/>
    <col min="15" max="16384" width="25.7109375" style="1"/>
  </cols>
  <sheetData>
    <row r="1" spans="1:14" ht="20.100000000000001" customHeight="1">
      <c r="A1" s="2" t="s">
        <v>0</v>
      </c>
      <c r="B1" s="2" t="s">
        <v>1</v>
      </c>
      <c r="C1" s="2" t="s">
        <v>2</v>
      </c>
      <c r="D1" s="2" t="s">
        <v>3</v>
      </c>
      <c r="E1" s="4" t="s">
        <v>4</v>
      </c>
      <c r="F1" s="6" t="s">
        <v>5</v>
      </c>
      <c r="G1" s="2" t="s">
        <v>6</v>
      </c>
      <c r="H1" s="2" t="s">
        <v>7</v>
      </c>
      <c r="I1" s="2" t="s">
        <v>8</v>
      </c>
      <c r="J1" s="2" t="s">
        <v>9</v>
      </c>
      <c r="K1" s="4" t="s">
        <v>10</v>
      </c>
      <c r="L1" s="2" t="s">
        <v>11</v>
      </c>
      <c r="M1" s="2" t="s">
        <v>12</v>
      </c>
      <c r="N1" s="6" t="s">
        <v>13</v>
      </c>
    </row>
    <row r="2" spans="1:14" ht="20.100000000000001" customHeight="1">
      <c r="A2" s="3" t="s">
        <v>14</v>
      </c>
      <c r="B2" s="18">
        <v>44930</v>
      </c>
      <c r="C2" s="3" t="s">
        <v>15</v>
      </c>
      <c r="D2" s="3" t="s">
        <v>16</v>
      </c>
      <c r="E2" s="19">
        <v>5</v>
      </c>
      <c r="F2" s="20">
        <v>570.62</v>
      </c>
      <c r="G2" s="3" t="s">
        <v>17</v>
      </c>
      <c r="H2" s="3" t="s">
        <v>18</v>
      </c>
      <c r="I2" s="3" t="s">
        <v>19</v>
      </c>
      <c r="J2" s="3" t="s">
        <v>20</v>
      </c>
      <c r="K2" s="19">
        <v>7</v>
      </c>
      <c r="L2" s="3" t="s">
        <v>21</v>
      </c>
      <c r="M2" s="3" t="s">
        <v>22</v>
      </c>
      <c r="N2" s="20">
        <v>2853.1</v>
      </c>
    </row>
    <row r="3" spans="1:14" ht="20.100000000000001" customHeight="1">
      <c r="A3" s="3" t="s">
        <v>23</v>
      </c>
      <c r="B3" s="18">
        <v>45527</v>
      </c>
      <c r="C3" s="3" t="s">
        <v>24</v>
      </c>
      <c r="D3" s="3" t="s">
        <v>25</v>
      </c>
      <c r="E3" s="19">
        <v>2</v>
      </c>
      <c r="F3" s="20">
        <v>151.35</v>
      </c>
      <c r="G3" s="3" t="s">
        <v>26</v>
      </c>
      <c r="H3" s="3" t="s">
        <v>27</v>
      </c>
      <c r="I3" s="3" t="s">
        <v>19</v>
      </c>
      <c r="J3" s="3" t="s">
        <v>28</v>
      </c>
      <c r="K3" s="19">
        <v>3</v>
      </c>
      <c r="L3" s="3" t="s">
        <v>21</v>
      </c>
      <c r="M3" s="3" t="s">
        <v>29</v>
      </c>
      <c r="N3" s="20">
        <v>302.7</v>
      </c>
    </row>
    <row r="4" spans="1:14" ht="20.100000000000001" customHeight="1">
      <c r="A4" s="3" t="s">
        <v>30</v>
      </c>
      <c r="B4" s="18">
        <v>45349</v>
      </c>
      <c r="C4" s="3" t="s">
        <v>31</v>
      </c>
      <c r="D4" s="3" t="s">
        <v>32</v>
      </c>
      <c r="E4" s="19">
        <v>5</v>
      </c>
      <c r="F4" s="20">
        <v>550.67999999999995</v>
      </c>
      <c r="G4" s="3" t="s">
        <v>33</v>
      </c>
      <c r="H4" s="3" t="s">
        <v>34</v>
      </c>
      <c r="I4" s="3" t="s">
        <v>35</v>
      </c>
      <c r="J4" s="3" t="s">
        <v>36</v>
      </c>
      <c r="K4" s="19">
        <v>8</v>
      </c>
      <c r="L4" s="3" t="s">
        <v>37</v>
      </c>
      <c r="M4" s="3" t="s">
        <v>38</v>
      </c>
      <c r="N4" s="20">
        <v>2753.4</v>
      </c>
    </row>
    <row r="5" spans="1:14" ht="20.100000000000001" customHeight="1">
      <c r="A5" s="3" t="s">
        <v>39</v>
      </c>
      <c r="B5" s="18">
        <v>45214</v>
      </c>
      <c r="C5" s="3" t="s">
        <v>40</v>
      </c>
      <c r="D5" s="3" t="s">
        <v>41</v>
      </c>
      <c r="E5" s="19">
        <v>1</v>
      </c>
      <c r="F5" s="20">
        <v>273.19</v>
      </c>
      <c r="G5" s="3" t="s">
        <v>42</v>
      </c>
      <c r="H5" s="3" t="s">
        <v>18</v>
      </c>
      <c r="I5" s="3" t="s">
        <v>43</v>
      </c>
      <c r="J5" s="3" t="s">
        <v>44</v>
      </c>
      <c r="K5" s="19">
        <v>5</v>
      </c>
      <c r="L5" s="3" t="s">
        <v>21</v>
      </c>
      <c r="M5" s="3" t="s">
        <v>45</v>
      </c>
      <c r="N5" s="20">
        <v>273.19</v>
      </c>
    </row>
    <row r="6" spans="1:14" ht="20.100000000000001" customHeight="1">
      <c r="A6" s="3" t="s">
        <v>46</v>
      </c>
      <c r="B6" s="18">
        <v>45785</v>
      </c>
      <c r="C6" s="3" t="s">
        <v>47</v>
      </c>
      <c r="D6" s="3" t="s">
        <v>48</v>
      </c>
      <c r="E6" s="19">
        <v>4</v>
      </c>
      <c r="F6" s="20">
        <v>626.01</v>
      </c>
      <c r="G6" s="3" t="s">
        <v>49</v>
      </c>
      <c r="H6" s="3" t="s">
        <v>27</v>
      </c>
      <c r="I6" s="3" t="s">
        <v>50</v>
      </c>
      <c r="J6" s="3" t="s">
        <v>51</v>
      </c>
      <c r="K6" s="19">
        <v>8</v>
      </c>
      <c r="L6" s="3" t="s">
        <v>21</v>
      </c>
      <c r="M6" s="3" t="s">
        <v>38</v>
      </c>
      <c r="N6" s="20">
        <v>2504.04</v>
      </c>
    </row>
    <row r="7" spans="1:14" ht="20.100000000000001" customHeight="1">
      <c r="A7" s="3" t="s">
        <v>52</v>
      </c>
      <c r="B7" s="18">
        <v>45222</v>
      </c>
      <c r="C7" s="3" t="s">
        <v>53</v>
      </c>
      <c r="D7" s="3" t="s">
        <v>25</v>
      </c>
      <c r="E7" s="19">
        <v>2</v>
      </c>
      <c r="F7" s="20">
        <v>245.86</v>
      </c>
      <c r="G7" s="3" t="s">
        <v>54</v>
      </c>
      <c r="H7" s="3" t="s">
        <v>34</v>
      </c>
      <c r="I7" s="3" t="s">
        <v>19</v>
      </c>
      <c r="J7" s="3" t="s">
        <v>55</v>
      </c>
      <c r="K7" s="19">
        <v>4</v>
      </c>
      <c r="L7" s="3" t="s">
        <v>21</v>
      </c>
      <c r="M7" s="3" t="s">
        <v>22</v>
      </c>
      <c r="N7" s="20">
        <v>491.72</v>
      </c>
    </row>
    <row r="8" spans="1:14" ht="20.100000000000001" customHeight="1">
      <c r="A8" s="3" t="s">
        <v>56</v>
      </c>
      <c r="B8" s="18">
        <v>45825</v>
      </c>
      <c r="C8" s="3" t="s">
        <v>57</v>
      </c>
      <c r="D8" s="3" t="s">
        <v>58</v>
      </c>
      <c r="E8" s="19">
        <v>1</v>
      </c>
      <c r="F8" s="20">
        <v>664.42</v>
      </c>
      <c r="G8" s="3" t="s">
        <v>59</v>
      </c>
      <c r="H8" s="3" t="s">
        <v>60</v>
      </c>
      <c r="I8" s="3" t="s">
        <v>43</v>
      </c>
      <c r="J8" s="3" t="s">
        <v>61</v>
      </c>
      <c r="K8" s="19">
        <v>6</v>
      </c>
      <c r="L8" s="3" t="s">
        <v>21</v>
      </c>
      <c r="M8" s="3" t="s">
        <v>45</v>
      </c>
      <c r="N8" s="20">
        <v>664.42</v>
      </c>
    </row>
    <row r="9" spans="1:14" ht="20.100000000000001" customHeight="1">
      <c r="A9" s="3" t="s">
        <v>62</v>
      </c>
      <c r="B9" s="18">
        <v>45058</v>
      </c>
      <c r="C9" s="3" t="s">
        <v>63</v>
      </c>
      <c r="D9" s="3" t="s">
        <v>16</v>
      </c>
      <c r="E9" s="19">
        <v>5</v>
      </c>
      <c r="F9" s="20">
        <v>149.55000000000001</v>
      </c>
      <c r="G9" s="3" t="s">
        <v>64</v>
      </c>
      <c r="H9" s="3" t="s">
        <v>65</v>
      </c>
      <c r="I9" s="3" t="s">
        <v>19</v>
      </c>
      <c r="J9" s="3" t="s">
        <v>66</v>
      </c>
      <c r="K9" s="19">
        <v>9</v>
      </c>
      <c r="L9" s="3" t="s">
        <v>37</v>
      </c>
      <c r="M9" s="3" t="s">
        <v>45</v>
      </c>
      <c r="N9" s="20">
        <v>747.75</v>
      </c>
    </row>
    <row r="10" spans="1:14" ht="20.100000000000001" customHeight="1">
      <c r="A10" s="3" t="s">
        <v>67</v>
      </c>
      <c r="B10" s="18">
        <v>45749</v>
      </c>
      <c r="C10" s="3" t="s">
        <v>68</v>
      </c>
      <c r="D10" s="3" t="s">
        <v>25</v>
      </c>
      <c r="E10" s="19">
        <v>2</v>
      </c>
      <c r="F10" s="20">
        <v>134.28</v>
      </c>
      <c r="G10" s="3" t="s">
        <v>69</v>
      </c>
      <c r="H10" s="3" t="s">
        <v>60</v>
      </c>
      <c r="I10" s="3" t="s">
        <v>35</v>
      </c>
      <c r="J10" s="3" t="s">
        <v>70</v>
      </c>
      <c r="K10" s="19">
        <v>2</v>
      </c>
      <c r="L10" s="3" t="s">
        <v>1192</v>
      </c>
      <c r="M10" s="3" t="s">
        <v>38</v>
      </c>
      <c r="N10" s="20">
        <v>268.56</v>
      </c>
    </row>
    <row r="11" spans="1:14" ht="20.100000000000001" customHeight="1">
      <c r="A11" s="3" t="s">
        <v>71</v>
      </c>
      <c r="B11" s="18">
        <v>45251</v>
      </c>
      <c r="C11" s="3" t="s">
        <v>72</v>
      </c>
      <c r="D11" s="3" t="s">
        <v>73</v>
      </c>
      <c r="E11" s="19">
        <v>4</v>
      </c>
      <c r="F11" s="20">
        <v>509.38</v>
      </c>
      <c r="G11" s="3" t="s">
        <v>74</v>
      </c>
      <c r="H11" s="3" t="s">
        <v>34</v>
      </c>
      <c r="I11" s="3" t="s">
        <v>19</v>
      </c>
      <c r="J11" s="3" t="s">
        <v>75</v>
      </c>
      <c r="K11" s="19">
        <v>6</v>
      </c>
      <c r="L11" s="3" t="s">
        <v>21</v>
      </c>
      <c r="M11" s="3" t="s">
        <v>76</v>
      </c>
      <c r="N11" s="20">
        <v>2037.52</v>
      </c>
    </row>
    <row r="12" spans="1:14" ht="20.100000000000001" customHeight="1">
      <c r="A12" s="3" t="s">
        <v>77</v>
      </c>
      <c r="B12" s="18">
        <v>45289</v>
      </c>
      <c r="C12" s="3" t="s">
        <v>78</v>
      </c>
      <c r="D12" s="3" t="s">
        <v>32</v>
      </c>
      <c r="E12" s="19">
        <v>5</v>
      </c>
      <c r="F12" s="20">
        <v>625.97</v>
      </c>
      <c r="G12" s="3" t="s">
        <v>79</v>
      </c>
      <c r="H12" s="3" t="s">
        <v>34</v>
      </c>
      <c r="I12" s="3" t="s">
        <v>43</v>
      </c>
      <c r="J12" s="3" t="s">
        <v>80</v>
      </c>
      <c r="K12" s="19">
        <v>9</v>
      </c>
      <c r="L12" s="3" t="s">
        <v>81</v>
      </c>
      <c r="M12" s="3" t="s">
        <v>22</v>
      </c>
      <c r="N12" s="20">
        <v>3129.85</v>
      </c>
    </row>
    <row r="13" spans="1:14" ht="20.100000000000001" customHeight="1">
      <c r="A13" s="3" t="s">
        <v>82</v>
      </c>
      <c r="B13" s="18">
        <v>45339</v>
      </c>
      <c r="C13" s="3" t="s">
        <v>83</v>
      </c>
      <c r="D13" s="3" t="s">
        <v>16</v>
      </c>
      <c r="E13" s="19">
        <v>3</v>
      </c>
      <c r="F13" s="20">
        <v>49.14</v>
      </c>
      <c r="G13" s="3" t="s">
        <v>84</v>
      </c>
      <c r="H13" s="3" t="s">
        <v>27</v>
      </c>
      <c r="I13" s="3" t="s">
        <v>43</v>
      </c>
      <c r="J13" s="3" t="s">
        <v>85</v>
      </c>
      <c r="K13" s="19">
        <v>7</v>
      </c>
      <c r="L13" s="3" t="s">
        <v>21</v>
      </c>
      <c r="M13" s="3" t="s">
        <v>38</v>
      </c>
      <c r="N13" s="20">
        <v>147.41999999999999</v>
      </c>
    </row>
    <row r="14" spans="1:14" ht="20.100000000000001" customHeight="1">
      <c r="A14" s="3" t="s">
        <v>86</v>
      </c>
      <c r="B14" s="18">
        <v>45580</v>
      </c>
      <c r="C14" s="3" t="s">
        <v>87</v>
      </c>
      <c r="D14" s="3" t="s">
        <v>16</v>
      </c>
      <c r="E14" s="19">
        <v>2</v>
      </c>
      <c r="F14" s="20">
        <v>180.5</v>
      </c>
      <c r="G14" s="3" t="s">
        <v>88</v>
      </c>
      <c r="H14" s="3" t="s">
        <v>18</v>
      </c>
      <c r="I14" s="3" t="s">
        <v>89</v>
      </c>
      <c r="J14" s="3" t="s">
        <v>90</v>
      </c>
      <c r="K14" s="19">
        <v>6</v>
      </c>
      <c r="L14" s="3" t="s">
        <v>37</v>
      </c>
      <c r="M14" s="3" t="s">
        <v>29</v>
      </c>
      <c r="N14" s="20">
        <v>361</v>
      </c>
    </row>
    <row r="15" spans="1:14" ht="20.100000000000001" customHeight="1">
      <c r="A15" s="3" t="s">
        <v>91</v>
      </c>
      <c r="B15" s="18">
        <v>45168</v>
      </c>
      <c r="C15" s="3" t="s">
        <v>92</v>
      </c>
      <c r="D15" s="3" t="s">
        <v>58</v>
      </c>
      <c r="E15" s="19">
        <v>3</v>
      </c>
      <c r="F15" s="20">
        <v>201.49</v>
      </c>
      <c r="G15" s="3" t="s">
        <v>93</v>
      </c>
      <c r="H15" s="3" t="s">
        <v>34</v>
      </c>
      <c r="I15" s="3" t="s">
        <v>43</v>
      </c>
      <c r="J15" s="3" t="s">
        <v>94</v>
      </c>
      <c r="K15" s="19">
        <v>4</v>
      </c>
      <c r="L15" s="3" t="s">
        <v>37</v>
      </c>
      <c r="M15" s="3" t="s">
        <v>45</v>
      </c>
      <c r="N15" s="20">
        <v>604.47</v>
      </c>
    </row>
    <row r="16" spans="1:14" ht="20.100000000000001" customHeight="1">
      <c r="A16" s="3" t="s">
        <v>95</v>
      </c>
      <c r="B16" s="18">
        <v>45012</v>
      </c>
      <c r="C16" s="3" t="s">
        <v>96</v>
      </c>
      <c r="D16" s="3" t="s">
        <v>32</v>
      </c>
      <c r="E16" s="19">
        <v>2</v>
      </c>
      <c r="F16" s="20">
        <v>393.33</v>
      </c>
      <c r="G16" s="3" t="s">
        <v>97</v>
      </c>
      <c r="H16" s="3" t="s">
        <v>18</v>
      </c>
      <c r="I16" s="3" t="s">
        <v>89</v>
      </c>
      <c r="J16" s="3" t="s">
        <v>98</v>
      </c>
      <c r="K16" s="19">
        <v>3</v>
      </c>
      <c r="L16" s="3" t="s">
        <v>21</v>
      </c>
      <c r="M16" s="3" t="s">
        <v>22</v>
      </c>
      <c r="N16" s="20">
        <v>786.66</v>
      </c>
    </row>
    <row r="17" spans="1:14" ht="20.100000000000001" customHeight="1">
      <c r="A17" s="3" t="s">
        <v>99</v>
      </c>
      <c r="B17" s="18">
        <v>45124</v>
      </c>
      <c r="C17" s="3" t="s">
        <v>100</v>
      </c>
      <c r="D17" s="3" t="s">
        <v>48</v>
      </c>
      <c r="E17" s="19">
        <v>1</v>
      </c>
      <c r="F17" s="20">
        <v>473.96</v>
      </c>
      <c r="G17" s="3" t="s">
        <v>101</v>
      </c>
      <c r="H17" s="3" t="s">
        <v>65</v>
      </c>
      <c r="I17" s="3" t="s">
        <v>50</v>
      </c>
      <c r="J17" s="3" t="s">
        <v>102</v>
      </c>
      <c r="K17" s="19">
        <v>3</v>
      </c>
      <c r="L17" s="3"/>
      <c r="M17" s="3" t="s">
        <v>76</v>
      </c>
      <c r="N17" s="20">
        <v>473.96</v>
      </c>
    </row>
    <row r="18" spans="1:14" ht="20.100000000000001" customHeight="1">
      <c r="A18" s="3" t="s">
        <v>103</v>
      </c>
      <c r="B18" s="18">
        <v>44950</v>
      </c>
      <c r="C18" s="3" t="s">
        <v>104</v>
      </c>
      <c r="D18" s="3" t="s">
        <v>48</v>
      </c>
      <c r="E18" s="19">
        <v>2</v>
      </c>
      <c r="F18" s="20">
        <v>533.80999999999995</v>
      </c>
      <c r="G18" s="3" t="s">
        <v>105</v>
      </c>
      <c r="H18" s="3" t="s">
        <v>34</v>
      </c>
      <c r="I18" s="3" t="s">
        <v>89</v>
      </c>
      <c r="J18" s="3" t="s">
        <v>106</v>
      </c>
      <c r="K18" s="19">
        <v>3</v>
      </c>
      <c r="L18" s="3" t="s">
        <v>37</v>
      </c>
      <c r="M18" s="3" t="s">
        <v>38</v>
      </c>
      <c r="N18" s="20">
        <v>1067.6199999999999</v>
      </c>
    </row>
    <row r="19" spans="1:14" ht="20.100000000000001" customHeight="1">
      <c r="A19" s="3" t="s">
        <v>107</v>
      </c>
      <c r="B19" s="18">
        <v>45353</v>
      </c>
      <c r="C19" s="3" t="s">
        <v>108</v>
      </c>
      <c r="D19" s="3" t="s">
        <v>32</v>
      </c>
      <c r="E19" s="19">
        <v>1</v>
      </c>
      <c r="F19" s="20">
        <v>423.4</v>
      </c>
      <c r="G19" s="3" t="s">
        <v>109</v>
      </c>
      <c r="H19" s="3" t="s">
        <v>18</v>
      </c>
      <c r="I19" s="3" t="s">
        <v>19</v>
      </c>
      <c r="J19" s="3" t="s">
        <v>110</v>
      </c>
      <c r="K19" s="19">
        <v>3</v>
      </c>
      <c r="L19" s="3"/>
      <c r="M19" s="3" t="s">
        <v>29</v>
      </c>
      <c r="N19" s="20">
        <v>423.4</v>
      </c>
    </row>
    <row r="20" spans="1:14" ht="20.100000000000001" customHeight="1">
      <c r="A20" s="3" t="s">
        <v>111</v>
      </c>
      <c r="B20" s="18">
        <v>45742</v>
      </c>
      <c r="C20" s="3" t="s">
        <v>112</v>
      </c>
      <c r="D20" s="3" t="s">
        <v>73</v>
      </c>
      <c r="E20" s="19">
        <v>1</v>
      </c>
      <c r="F20" s="20">
        <v>431.44</v>
      </c>
      <c r="G20" s="3" t="s">
        <v>113</v>
      </c>
      <c r="H20" s="3" t="s">
        <v>60</v>
      </c>
      <c r="I20" s="3" t="s">
        <v>89</v>
      </c>
      <c r="J20" s="3" t="s">
        <v>114</v>
      </c>
      <c r="K20" s="19">
        <v>3</v>
      </c>
      <c r="L20" s="3" t="s">
        <v>21</v>
      </c>
      <c r="M20" s="3" t="s">
        <v>45</v>
      </c>
      <c r="N20" s="20">
        <v>431.44</v>
      </c>
    </row>
    <row r="21" spans="1:14" ht="20.100000000000001" customHeight="1">
      <c r="A21" s="3" t="s">
        <v>115</v>
      </c>
      <c r="B21" s="18">
        <v>44949</v>
      </c>
      <c r="C21" s="3" t="s">
        <v>116</v>
      </c>
      <c r="D21" s="3" t="s">
        <v>16</v>
      </c>
      <c r="E21" s="19">
        <v>5</v>
      </c>
      <c r="F21" s="20">
        <v>224</v>
      </c>
      <c r="G21" s="3" t="s">
        <v>117</v>
      </c>
      <c r="H21" s="3" t="s">
        <v>65</v>
      </c>
      <c r="I21" s="3" t="s">
        <v>43</v>
      </c>
      <c r="J21" s="3" t="s">
        <v>118</v>
      </c>
      <c r="K21" s="19">
        <v>9</v>
      </c>
      <c r="L21" s="3" t="s">
        <v>21</v>
      </c>
      <c r="M21" s="3" t="s">
        <v>76</v>
      </c>
      <c r="N21" s="20">
        <v>1120</v>
      </c>
    </row>
    <row r="22" spans="1:14" ht="20.100000000000001" customHeight="1">
      <c r="A22" s="3" t="s">
        <v>119</v>
      </c>
      <c r="B22" s="18">
        <v>45054</v>
      </c>
      <c r="C22" s="3" t="s">
        <v>120</v>
      </c>
      <c r="D22" s="3" t="s">
        <v>41</v>
      </c>
      <c r="E22" s="19">
        <v>5</v>
      </c>
      <c r="F22" s="20">
        <v>62.51</v>
      </c>
      <c r="G22" s="3" t="s">
        <v>121</v>
      </c>
      <c r="H22" s="3" t="s">
        <v>65</v>
      </c>
      <c r="I22" s="3" t="s">
        <v>89</v>
      </c>
      <c r="J22" s="3" t="s">
        <v>122</v>
      </c>
      <c r="K22" s="19">
        <v>9</v>
      </c>
      <c r="L22" s="3" t="s">
        <v>81</v>
      </c>
      <c r="M22" s="3" t="s">
        <v>22</v>
      </c>
      <c r="N22" s="20">
        <v>312.55</v>
      </c>
    </row>
    <row r="23" spans="1:14" ht="20.100000000000001" customHeight="1">
      <c r="A23" s="3" t="s">
        <v>123</v>
      </c>
      <c r="B23" s="18">
        <v>45613</v>
      </c>
      <c r="C23" s="3" t="s">
        <v>124</v>
      </c>
      <c r="D23" s="3" t="s">
        <v>16</v>
      </c>
      <c r="E23" s="19">
        <v>4</v>
      </c>
      <c r="F23" s="20">
        <v>342.95</v>
      </c>
      <c r="G23" s="3" t="s">
        <v>125</v>
      </c>
      <c r="H23" s="3" t="s">
        <v>65</v>
      </c>
      <c r="I23" s="3" t="s">
        <v>50</v>
      </c>
      <c r="J23" s="3" t="s">
        <v>126</v>
      </c>
      <c r="K23" s="19">
        <v>6</v>
      </c>
      <c r="L23" s="3"/>
      <c r="M23" s="3" t="s">
        <v>76</v>
      </c>
      <c r="N23" s="20">
        <v>1371.8</v>
      </c>
    </row>
    <row r="24" spans="1:14" ht="20.100000000000001" customHeight="1">
      <c r="A24" s="3" t="s">
        <v>127</v>
      </c>
      <c r="B24" s="18">
        <v>44955</v>
      </c>
      <c r="C24" s="3" t="s">
        <v>128</v>
      </c>
      <c r="D24" s="3" t="s">
        <v>16</v>
      </c>
      <c r="E24" s="19">
        <v>2</v>
      </c>
      <c r="F24" s="20">
        <v>49.62</v>
      </c>
      <c r="G24" s="3" t="s">
        <v>129</v>
      </c>
      <c r="H24" s="3" t="s">
        <v>27</v>
      </c>
      <c r="I24" s="3" t="s">
        <v>89</v>
      </c>
      <c r="J24" s="3" t="s">
        <v>130</v>
      </c>
      <c r="K24" s="19">
        <v>2</v>
      </c>
      <c r="L24" s="3" t="s">
        <v>21</v>
      </c>
      <c r="M24" s="3" t="s">
        <v>76</v>
      </c>
      <c r="N24" s="20">
        <v>99.24</v>
      </c>
    </row>
    <row r="25" spans="1:14" ht="20.100000000000001" customHeight="1">
      <c r="A25" s="3" t="s">
        <v>131</v>
      </c>
      <c r="B25" s="18">
        <v>45756</v>
      </c>
      <c r="C25" s="3" t="s">
        <v>132</v>
      </c>
      <c r="D25" s="3" t="s">
        <v>25</v>
      </c>
      <c r="E25" s="19">
        <v>4</v>
      </c>
      <c r="F25" s="20">
        <v>273.25</v>
      </c>
      <c r="G25" s="3" t="s">
        <v>133</v>
      </c>
      <c r="H25" s="3" t="s">
        <v>18</v>
      </c>
      <c r="I25" s="3" t="s">
        <v>35</v>
      </c>
      <c r="J25" s="3" t="s">
        <v>134</v>
      </c>
      <c r="K25" s="19">
        <v>5</v>
      </c>
      <c r="L25" s="3" t="s">
        <v>37</v>
      </c>
      <c r="M25" s="3" t="s">
        <v>29</v>
      </c>
      <c r="N25" s="20">
        <v>1093</v>
      </c>
    </row>
    <row r="26" spans="1:14" ht="20.100000000000001" customHeight="1">
      <c r="A26" s="3" t="s">
        <v>135</v>
      </c>
      <c r="B26" s="18">
        <v>45595</v>
      </c>
      <c r="C26" s="3" t="s">
        <v>136</v>
      </c>
      <c r="D26" s="3" t="s">
        <v>58</v>
      </c>
      <c r="E26" s="19">
        <v>2</v>
      </c>
      <c r="F26" s="20">
        <v>230.95</v>
      </c>
      <c r="G26" s="3" t="s">
        <v>137</v>
      </c>
      <c r="H26" s="3" t="s">
        <v>27</v>
      </c>
      <c r="I26" s="3" t="s">
        <v>50</v>
      </c>
      <c r="J26" s="3" t="s">
        <v>138</v>
      </c>
      <c r="K26" s="19">
        <v>3</v>
      </c>
      <c r="L26" s="3" t="s">
        <v>81</v>
      </c>
      <c r="M26" s="3" t="s">
        <v>29</v>
      </c>
      <c r="N26" s="20">
        <v>461.9</v>
      </c>
    </row>
    <row r="27" spans="1:14" ht="20.100000000000001" customHeight="1">
      <c r="A27" s="3" t="s">
        <v>139</v>
      </c>
      <c r="B27" s="18">
        <v>45497</v>
      </c>
      <c r="C27" s="3" t="s">
        <v>140</v>
      </c>
      <c r="D27" s="3" t="s">
        <v>16</v>
      </c>
      <c r="E27" s="19">
        <v>1</v>
      </c>
      <c r="F27" s="20">
        <v>399.98</v>
      </c>
      <c r="G27" s="3" t="s">
        <v>141</v>
      </c>
      <c r="H27" s="3" t="s">
        <v>18</v>
      </c>
      <c r="I27" s="3" t="s">
        <v>50</v>
      </c>
      <c r="J27" s="3" t="s">
        <v>142</v>
      </c>
      <c r="K27" s="19">
        <v>3</v>
      </c>
      <c r="L27" s="3" t="s">
        <v>81</v>
      </c>
      <c r="M27" s="3" t="s">
        <v>38</v>
      </c>
      <c r="N27" s="20">
        <v>399.98</v>
      </c>
    </row>
    <row r="28" spans="1:14" ht="20.100000000000001" customHeight="1">
      <c r="A28" s="3" t="s">
        <v>143</v>
      </c>
      <c r="B28" s="18">
        <v>45357</v>
      </c>
      <c r="C28" s="3" t="s">
        <v>144</v>
      </c>
      <c r="D28" s="3" t="s">
        <v>58</v>
      </c>
      <c r="E28" s="19">
        <v>5</v>
      </c>
      <c r="F28" s="20">
        <v>59.55</v>
      </c>
      <c r="G28" s="3" t="s">
        <v>145</v>
      </c>
      <c r="H28" s="3" t="s">
        <v>27</v>
      </c>
      <c r="I28" s="3" t="s">
        <v>50</v>
      </c>
      <c r="J28" s="3" t="s">
        <v>146</v>
      </c>
      <c r="K28" s="19">
        <v>6</v>
      </c>
      <c r="L28" s="3"/>
      <c r="M28" s="3" t="s">
        <v>29</v>
      </c>
      <c r="N28" s="20">
        <v>297.75</v>
      </c>
    </row>
    <row r="29" spans="1:14" ht="20.100000000000001" customHeight="1">
      <c r="A29" s="3" t="s">
        <v>147</v>
      </c>
      <c r="B29" s="18">
        <v>45344</v>
      </c>
      <c r="C29" s="3" t="s">
        <v>148</v>
      </c>
      <c r="D29" s="3" t="s">
        <v>48</v>
      </c>
      <c r="E29" s="19">
        <v>1</v>
      </c>
      <c r="F29" s="20">
        <v>472.74</v>
      </c>
      <c r="G29" s="3" t="s">
        <v>149</v>
      </c>
      <c r="H29" s="3" t="s">
        <v>27</v>
      </c>
      <c r="I29" s="3" t="s">
        <v>19</v>
      </c>
      <c r="J29" s="3" t="s">
        <v>150</v>
      </c>
      <c r="K29" s="19">
        <v>6</v>
      </c>
      <c r="L29" s="3" t="s">
        <v>81</v>
      </c>
      <c r="M29" s="3" t="s">
        <v>76</v>
      </c>
      <c r="N29" s="20">
        <v>472.74</v>
      </c>
    </row>
    <row r="30" spans="1:14" ht="20.100000000000001" customHeight="1">
      <c r="A30" s="3" t="s">
        <v>151</v>
      </c>
      <c r="B30" s="18">
        <v>45251</v>
      </c>
      <c r="C30" s="3" t="s">
        <v>152</v>
      </c>
      <c r="D30" s="3" t="s">
        <v>25</v>
      </c>
      <c r="E30" s="19">
        <v>4</v>
      </c>
      <c r="F30" s="20">
        <v>160.07</v>
      </c>
      <c r="G30" s="3" t="s">
        <v>153</v>
      </c>
      <c r="H30" s="3" t="s">
        <v>27</v>
      </c>
      <c r="I30" s="3" t="s">
        <v>89</v>
      </c>
      <c r="J30" s="3" t="s">
        <v>154</v>
      </c>
      <c r="K30" s="19">
        <v>5</v>
      </c>
      <c r="L30" s="3"/>
      <c r="M30" s="3" t="s">
        <v>38</v>
      </c>
      <c r="N30" s="20">
        <v>640.28</v>
      </c>
    </row>
    <row r="31" spans="1:14" ht="20.100000000000001" customHeight="1">
      <c r="A31" s="3" t="s">
        <v>155</v>
      </c>
      <c r="B31" s="18">
        <v>45555</v>
      </c>
      <c r="C31" s="3" t="s">
        <v>156</v>
      </c>
      <c r="D31" s="3" t="s">
        <v>73</v>
      </c>
      <c r="E31" s="19">
        <v>3</v>
      </c>
      <c r="F31" s="20">
        <v>423.53</v>
      </c>
      <c r="G31" s="3" t="s">
        <v>157</v>
      </c>
      <c r="H31" s="3" t="s">
        <v>34</v>
      </c>
      <c r="I31" s="3" t="s">
        <v>50</v>
      </c>
      <c r="J31" s="3" t="s">
        <v>158</v>
      </c>
      <c r="K31" s="19">
        <v>6</v>
      </c>
      <c r="L31" s="3" t="s">
        <v>21</v>
      </c>
      <c r="M31" s="3" t="s">
        <v>29</v>
      </c>
      <c r="N31" s="20">
        <v>1270.5899999999999</v>
      </c>
    </row>
    <row r="32" spans="1:14" ht="20.100000000000001" customHeight="1">
      <c r="A32" s="3" t="s">
        <v>159</v>
      </c>
      <c r="B32" s="18">
        <v>45738</v>
      </c>
      <c r="C32" s="3" t="s">
        <v>160</v>
      </c>
      <c r="D32" s="3" t="s">
        <v>16</v>
      </c>
      <c r="E32" s="19">
        <v>2</v>
      </c>
      <c r="F32" s="20">
        <v>426.7</v>
      </c>
      <c r="G32" s="3" t="s">
        <v>161</v>
      </c>
      <c r="H32" s="3" t="s">
        <v>27</v>
      </c>
      <c r="I32" s="3" t="s">
        <v>89</v>
      </c>
      <c r="J32" s="3" t="s">
        <v>162</v>
      </c>
      <c r="K32" s="19">
        <v>5</v>
      </c>
      <c r="L32" s="3" t="s">
        <v>21</v>
      </c>
      <c r="M32" s="3" t="s">
        <v>29</v>
      </c>
      <c r="N32" s="20">
        <v>853.4</v>
      </c>
    </row>
    <row r="33" spans="1:14" ht="20.100000000000001" customHeight="1">
      <c r="A33" s="3" t="s">
        <v>163</v>
      </c>
      <c r="B33" s="18">
        <v>45107</v>
      </c>
      <c r="C33" s="3" t="s">
        <v>164</v>
      </c>
      <c r="D33" s="3" t="s">
        <v>41</v>
      </c>
      <c r="E33" s="19">
        <v>3</v>
      </c>
      <c r="F33" s="20">
        <v>500.08</v>
      </c>
      <c r="G33" s="3" t="s">
        <v>165</v>
      </c>
      <c r="H33" s="3" t="s">
        <v>18</v>
      </c>
      <c r="I33" s="3" t="s">
        <v>43</v>
      </c>
      <c r="J33" s="3" t="s">
        <v>166</v>
      </c>
      <c r="K33" s="19">
        <v>6</v>
      </c>
      <c r="L33" s="3"/>
      <c r="M33" s="3" t="s">
        <v>45</v>
      </c>
      <c r="N33" s="20">
        <v>1500.24</v>
      </c>
    </row>
    <row r="34" spans="1:14" ht="20.100000000000001" customHeight="1">
      <c r="A34" s="3" t="s">
        <v>167</v>
      </c>
      <c r="B34" s="18">
        <v>45047</v>
      </c>
      <c r="C34" s="3" t="s">
        <v>168</v>
      </c>
      <c r="D34" s="3" t="s">
        <v>32</v>
      </c>
      <c r="E34" s="19">
        <v>5</v>
      </c>
      <c r="F34" s="20">
        <v>536.72</v>
      </c>
      <c r="G34" s="3" t="s">
        <v>169</v>
      </c>
      <c r="H34" s="3" t="s">
        <v>65</v>
      </c>
      <c r="I34" s="3" t="s">
        <v>50</v>
      </c>
      <c r="J34" s="3" t="s">
        <v>170</v>
      </c>
      <c r="K34" s="19">
        <v>10</v>
      </c>
      <c r="L34" s="3"/>
      <c r="M34" s="3" t="s">
        <v>38</v>
      </c>
      <c r="N34" s="20">
        <v>2683.6</v>
      </c>
    </row>
    <row r="35" spans="1:14" ht="20.100000000000001" customHeight="1">
      <c r="A35" s="3" t="s">
        <v>171</v>
      </c>
      <c r="B35" s="18">
        <v>45082</v>
      </c>
      <c r="C35" s="3" t="s">
        <v>172</v>
      </c>
      <c r="D35" s="3" t="s">
        <v>41</v>
      </c>
      <c r="E35" s="19">
        <v>1</v>
      </c>
      <c r="F35" s="20">
        <v>162.77000000000001</v>
      </c>
      <c r="G35" s="3" t="s">
        <v>173</v>
      </c>
      <c r="H35" s="3" t="s">
        <v>27</v>
      </c>
      <c r="I35" s="3" t="s">
        <v>35</v>
      </c>
      <c r="J35" s="3" t="s">
        <v>174</v>
      </c>
      <c r="K35" s="19">
        <v>4</v>
      </c>
      <c r="L35" s="3" t="s">
        <v>81</v>
      </c>
      <c r="M35" s="3" t="s">
        <v>45</v>
      </c>
      <c r="N35" s="20">
        <v>162.77000000000001</v>
      </c>
    </row>
    <row r="36" spans="1:14" ht="20.100000000000001" customHeight="1">
      <c r="A36" s="3" t="s">
        <v>175</v>
      </c>
      <c r="B36" s="18">
        <v>44933</v>
      </c>
      <c r="C36" s="3" t="s">
        <v>176</v>
      </c>
      <c r="D36" s="3" t="s">
        <v>41</v>
      </c>
      <c r="E36" s="19">
        <v>4</v>
      </c>
      <c r="F36" s="20">
        <v>576.52</v>
      </c>
      <c r="G36" s="3" t="s">
        <v>177</v>
      </c>
      <c r="H36" s="3" t="s">
        <v>34</v>
      </c>
      <c r="I36" s="3" t="s">
        <v>89</v>
      </c>
      <c r="J36" s="3" t="s">
        <v>178</v>
      </c>
      <c r="K36" s="19">
        <v>5</v>
      </c>
      <c r="L36" s="3" t="s">
        <v>81</v>
      </c>
      <c r="M36" s="3" t="s">
        <v>45</v>
      </c>
      <c r="N36" s="20">
        <v>2306.08</v>
      </c>
    </row>
    <row r="37" spans="1:14" ht="20.100000000000001" customHeight="1">
      <c r="A37" s="3" t="s">
        <v>179</v>
      </c>
      <c r="B37" s="18">
        <v>45633</v>
      </c>
      <c r="C37" s="3" t="s">
        <v>180</v>
      </c>
      <c r="D37" s="3" t="s">
        <v>16</v>
      </c>
      <c r="E37" s="19">
        <v>2</v>
      </c>
      <c r="F37" s="20">
        <v>465.15</v>
      </c>
      <c r="G37" s="3" t="s">
        <v>181</v>
      </c>
      <c r="H37" s="3" t="s">
        <v>27</v>
      </c>
      <c r="I37" s="3" t="s">
        <v>19</v>
      </c>
      <c r="J37" s="3" t="s">
        <v>182</v>
      </c>
      <c r="K37" s="19">
        <v>2</v>
      </c>
      <c r="L37" s="3" t="s">
        <v>21</v>
      </c>
      <c r="M37" s="3" t="s">
        <v>45</v>
      </c>
      <c r="N37" s="20">
        <v>930.3</v>
      </c>
    </row>
    <row r="38" spans="1:14" ht="20.100000000000001" customHeight="1">
      <c r="A38" s="3" t="s">
        <v>183</v>
      </c>
      <c r="B38" s="18">
        <v>45785</v>
      </c>
      <c r="C38" s="3" t="s">
        <v>184</v>
      </c>
      <c r="D38" s="3" t="s">
        <v>58</v>
      </c>
      <c r="E38" s="19">
        <v>2</v>
      </c>
      <c r="F38" s="20">
        <v>534.42999999999995</v>
      </c>
      <c r="G38" s="3" t="s">
        <v>185</v>
      </c>
      <c r="H38" s="3" t="s">
        <v>18</v>
      </c>
      <c r="I38" s="3" t="s">
        <v>89</v>
      </c>
      <c r="J38" s="3" t="s">
        <v>186</v>
      </c>
      <c r="K38" s="19">
        <v>5</v>
      </c>
      <c r="L38" s="3"/>
      <c r="M38" s="3" t="s">
        <v>45</v>
      </c>
      <c r="N38" s="20">
        <v>1068.8599999999999</v>
      </c>
    </row>
    <row r="39" spans="1:14" ht="20.100000000000001" customHeight="1">
      <c r="A39" s="3" t="s">
        <v>187</v>
      </c>
      <c r="B39" s="18">
        <v>45579</v>
      </c>
      <c r="C39" s="3" t="s">
        <v>188</v>
      </c>
      <c r="D39" s="3" t="s">
        <v>58</v>
      </c>
      <c r="E39" s="19">
        <v>2</v>
      </c>
      <c r="F39" s="20">
        <v>76.739999999999995</v>
      </c>
      <c r="G39" s="3" t="s">
        <v>189</v>
      </c>
      <c r="H39" s="3" t="s">
        <v>65</v>
      </c>
      <c r="I39" s="3" t="s">
        <v>43</v>
      </c>
      <c r="J39" s="3" t="s">
        <v>190</v>
      </c>
      <c r="K39" s="19">
        <v>7</v>
      </c>
      <c r="L39" s="3" t="s">
        <v>21</v>
      </c>
      <c r="M39" s="3" t="s">
        <v>22</v>
      </c>
      <c r="N39" s="20">
        <v>153.47999999999999</v>
      </c>
    </row>
    <row r="40" spans="1:14" ht="20.100000000000001" customHeight="1">
      <c r="A40" s="3" t="s">
        <v>191</v>
      </c>
      <c r="B40" s="18">
        <v>45645</v>
      </c>
      <c r="C40" s="3" t="s">
        <v>192</v>
      </c>
      <c r="D40" s="3" t="s">
        <v>58</v>
      </c>
      <c r="E40" s="19">
        <v>1</v>
      </c>
      <c r="F40" s="20">
        <v>245.89</v>
      </c>
      <c r="G40" s="3" t="s">
        <v>193</v>
      </c>
      <c r="H40" s="3" t="s">
        <v>18</v>
      </c>
      <c r="I40" s="3" t="s">
        <v>50</v>
      </c>
      <c r="J40" s="3" t="s">
        <v>194</v>
      </c>
      <c r="K40" s="19">
        <v>3</v>
      </c>
      <c r="L40" s="3" t="s">
        <v>21</v>
      </c>
      <c r="M40" s="3" t="s">
        <v>76</v>
      </c>
      <c r="N40" s="20">
        <v>245.89</v>
      </c>
    </row>
    <row r="41" spans="1:14" ht="20.100000000000001" customHeight="1">
      <c r="A41" s="3" t="s">
        <v>195</v>
      </c>
      <c r="B41" s="18">
        <v>45715</v>
      </c>
      <c r="C41" s="3" t="s">
        <v>196</v>
      </c>
      <c r="D41" s="3" t="s">
        <v>48</v>
      </c>
      <c r="E41" s="19">
        <v>3</v>
      </c>
      <c r="F41" s="20">
        <v>256.45999999999998</v>
      </c>
      <c r="G41" s="3" t="s">
        <v>197</v>
      </c>
      <c r="H41" s="3" t="s">
        <v>34</v>
      </c>
      <c r="I41" s="3" t="s">
        <v>50</v>
      </c>
      <c r="J41" s="3" t="s">
        <v>198</v>
      </c>
      <c r="K41" s="19">
        <v>4</v>
      </c>
      <c r="L41" s="3" t="s">
        <v>21</v>
      </c>
      <c r="M41" s="3" t="s">
        <v>29</v>
      </c>
      <c r="N41" s="20">
        <v>769.37999999999988</v>
      </c>
    </row>
    <row r="42" spans="1:14" ht="20.100000000000001" customHeight="1">
      <c r="A42" s="3" t="s">
        <v>199</v>
      </c>
      <c r="B42" s="18">
        <v>45158</v>
      </c>
      <c r="C42" s="3" t="s">
        <v>200</v>
      </c>
      <c r="D42" s="3" t="s">
        <v>73</v>
      </c>
      <c r="E42" s="19">
        <v>2</v>
      </c>
      <c r="F42" s="20">
        <v>344.02</v>
      </c>
      <c r="G42" s="3" t="s">
        <v>201</v>
      </c>
      <c r="H42" s="3" t="s">
        <v>27</v>
      </c>
      <c r="I42" s="3" t="s">
        <v>50</v>
      </c>
      <c r="J42" s="3" t="s">
        <v>202</v>
      </c>
      <c r="K42" s="19">
        <v>4</v>
      </c>
      <c r="L42" s="3" t="s">
        <v>37</v>
      </c>
      <c r="M42" s="3" t="s">
        <v>22</v>
      </c>
      <c r="N42" s="20">
        <v>688.04</v>
      </c>
    </row>
    <row r="43" spans="1:14" ht="20.100000000000001" customHeight="1">
      <c r="A43" s="3" t="s">
        <v>203</v>
      </c>
      <c r="B43" s="18">
        <v>45265</v>
      </c>
      <c r="C43" s="3" t="s">
        <v>204</v>
      </c>
      <c r="D43" s="3" t="s">
        <v>16</v>
      </c>
      <c r="E43" s="19">
        <v>3</v>
      </c>
      <c r="F43" s="20">
        <v>611.45000000000005</v>
      </c>
      <c r="G43" s="3" t="s">
        <v>205</v>
      </c>
      <c r="H43" s="3" t="s">
        <v>60</v>
      </c>
      <c r="I43" s="3" t="s">
        <v>89</v>
      </c>
      <c r="J43" s="3" t="s">
        <v>206</v>
      </c>
      <c r="K43" s="19">
        <v>4</v>
      </c>
      <c r="L43" s="3" t="s">
        <v>37</v>
      </c>
      <c r="M43" s="3" t="s">
        <v>22</v>
      </c>
      <c r="N43" s="20">
        <v>1834.35</v>
      </c>
    </row>
    <row r="44" spans="1:14" ht="20.100000000000001" customHeight="1">
      <c r="A44" s="3" t="s">
        <v>207</v>
      </c>
      <c r="B44" s="18">
        <v>45418</v>
      </c>
      <c r="C44" s="3" t="s">
        <v>208</v>
      </c>
      <c r="D44" s="3" t="s">
        <v>48</v>
      </c>
      <c r="E44" s="19">
        <v>2</v>
      </c>
      <c r="F44" s="20">
        <v>151.66</v>
      </c>
      <c r="G44" s="3" t="s">
        <v>97</v>
      </c>
      <c r="H44" s="3" t="s">
        <v>65</v>
      </c>
      <c r="I44" s="3" t="s">
        <v>35</v>
      </c>
      <c r="J44" s="3" t="s">
        <v>209</v>
      </c>
      <c r="K44" s="19">
        <v>6</v>
      </c>
      <c r="L44" s="3"/>
      <c r="M44" s="3" t="s">
        <v>22</v>
      </c>
      <c r="N44" s="20">
        <v>303.32</v>
      </c>
    </row>
    <row r="45" spans="1:14" ht="20.100000000000001" customHeight="1">
      <c r="A45" s="3" t="s">
        <v>210</v>
      </c>
      <c r="B45" s="18">
        <v>45274</v>
      </c>
      <c r="C45" s="3" t="s">
        <v>211</v>
      </c>
      <c r="D45" s="3" t="s">
        <v>41</v>
      </c>
      <c r="E45" s="19">
        <v>3</v>
      </c>
      <c r="F45" s="20">
        <v>499.21</v>
      </c>
      <c r="G45" s="3" t="s">
        <v>212</v>
      </c>
      <c r="H45" s="3" t="s">
        <v>27</v>
      </c>
      <c r="I45" s="3" t="s">
        <v>35</v>
      </c>
      <c r="J45" s="3" t="s">
        <v>213</v>
      </c>
      <c r="K45" s="19">
        <v>8</v>
      </c>
      <c r="L45" s="3"/>
      <c r="M45" s="3" t="s">
        <v>22</v>
      </c>
      <c r="N45" s="20">
        <v>1497.63</v>
      </c>
    </row>
    <row r="46" spans="1:14" ht="20.100000000000001" customHeight="1">
      <c r="A46" s="3" t="s">
        <v>214</v>
      </c>
      <c r="B46" s="18">
        <v>45768</v>
      </c>
      <c r="C46" s="3" t="s">
        <v>215</v>
      </c>
      <c r="D46" s="3" t="s">
        <v>25</v>
      </c>
      <c r="E46" s="19">
        <v>2</v>
      </c>
      <c r="F46" s="20">
        <v>550.17999999999995</v>
      </c>
      <c r="G46" s="3" t="s">
        <v>165</v>
      </c>
      <c r="H46" s="3" t="s">
        <v>60</v>
      </c>
      <c r="I46" s="3" t="s">
        <v>43</v>
      </c>
      <c r="J46" s="3" t="s">
        <v>216</v>
      </c>
      <c r="K46" s="19">
        <v>3</v>
      </c>
      <c r="L46" s="3" t="s">
        <v>37</v>
      </c>
      <c r="M46" s="3" t="s">
        <v>29</v>
      </c>
      <c r="N46" s="20">
        <v>1100.3599999999999</v>
      </c>
    </row>
    <row r="47" spans="1:14" ht="20.100000000000001" customHeight="1">
      <c r="A47" s="3" t="s">
        <v>217</v>
      </c>
      <c r="B47" s="18">
        <v>45332</v>
      </c>
      <c r="C47" s="3" t="s">
        <v>218</v>
      </c>
      <c r="D47" s="3" t="s">
        <v>41</v>
      </c>
      <c r="E47" s="19">
        <v>1</v>
      </c>
      <c r="F47" s="20">
        <v>317.25</v>
      </c>
      <c r="G47" s="3" t="s">
        <v>219</v>
      </c>
      <c r="H47" s="3" t="s">
        <v>18</v>
      </c>
      <c r="I47" s="3" t="s">
        <v>43</v>
      </c>
      <c r="J47" s="3" t="s">
        <v>220</v>
      </c>
      <c r="K47" s="19">
        <v>1</v>
      </c>
      <c r="L47" s="3" t="s">
        <v>21</v>
      </c>
      <c r="M47" s="3" t="s">
        <v>45</v>
      </c>
      <c r="N47" s="20">
        <v>317.25</v>
      </c>
    </row>
    <row r="48" spans="1:14" ht="20.100000000000001" customHeight="1">
      <c r="A48" s="3" t="s">
        <v>221</v>
      </c>
      <c r="B48" s="18">
        <v>45469</v>
      </c>
      <c r="C48" s="3" t="s">
        <v>222</v>
      </c>
      <c r="D48" s="3" t="s">
        <v>16</v>
      </c>
      <c r="E48" s="19">
        <v>4</v>
      </c>
      <c r="F48" s="20">
        <v>550.14</v>
      </c>
      <c r="G48" s="3" t="s">
        <v>223</v>
      </c>
      <c r="H48" s="3" t="s">
        <v>18</v>
      </c>
      <c r="I48" s="3" t="s">
        <v>89</v>
      </c>
      <c r="J48" s="3" t="s">
        <v>224</v>
      </c>
      <c r="K48" s="19">
        <v>4</v>
      </c>
      <c r="L48" s="3" t="s">
        <v>37</v>
      </c>
      <c r="M48" s="3" t="s">
        <v>22</v>
      </c>
      <c r="N48" s="20">
        <v>2200.56</v>
      </c>
    </row>
    <row r="49" spans="1:14" ht="20.100000000000001" customHeight="1">
      <c r="A49" s="3" t="s">
        <v>225</v>
      </c>
      <c r="B49" s="18">
        <v>45126</v>
      </c>
      <c r="C49" s="3" t="s">
        <v>226</v>
      </c>
      <c r="D49" s="3" t="s">
        <v>73</v>
      </c>
      <c r="E49" s="19">
        <v>2</v>
      </c>
      <c r="F49" s="20">
        <v>209.94</v>
      </c>
      <c r="G49" s="3" t="s">
        <v>227</v>
      </c>
      <c r="H49" s="3" t="s">
        <v>34</v>
      </c>
      <c r="I49" s="3" t="s">
        <v>43</v>
      </c>
      <c r="J49" s="3" t="s">
        <v>228</v>
      </c>
      <c r="K49" s="19">
        <v>3</v>
      </c>
      <c r="L49" s="3" t="s">
        <v>37</v>
      </c>
      <c r="M49" s="3" t="s">
        <v>38</v>
      </c>
      <c r="N49" s="20">
        <v>419.88</v>
      </c>
    </row>
    <row r="50" spans="1:14" ht="20.100000000000001" customHeight="1">
      <c r="A50" s="3" t="s">
        <v>229</v>
      </c>
      <c r="B50" s="18">
        <v>45164</v>
      </c>
      <c r="C50" s="3" t="s">
        <v>230</v>
      </c>
      <c r="D50" s="3" t="s">
        <v>16</v>
      </c>
      <c r="E50" s="19">
        <v>2</v>
      </c>
      <c r="F50" s="20">
        <v>80.77</v>
      </c>
      <c r="G50" s="3" t="s">
        <v>231</v>
      </c>
      <c r="H50" s="3" t="s">
        <v>18</v>
      </c>
      <c r="I50" s="3" t="s">
        <v>19</v>
      </c>
      <c r="J50" s="3" t="s">
        <v>232</v>
      </c>
      <c r="K50" s="19">
        <v>4</v>
      </c>
      <c r="L50" s="3"/>
      <c r="M50" s="3" t="s">
        <v>76</v>
      </c>
      <c r="N50" s="20">
        <v>161.54</v>
      </c>
    </row>
    <row r="51" spans="1:14" ht="20.100000000000001" customHeight="1">
      <c r="A51" s="3" t="s">
        <v>233</v>
      </c>
      <c r="B51" s="18">
        <v>45206</v>
      </c>
      <c r="C51" s="3" t="s">
        <v>234</v>
      </c>
      <c r="D51" s="3" t="s">
        <v>48</v>
      </c>
      <c r="E51" s="19">
        <v>1</v>
      </c>
      <c r="F51" s="20">
        <v>30.44</v>
      </c>
      <c r="G51" s="3" t="s">
        <v>129</v>
      </c>
      <c r="H51" s="3" t="s">
        <v>34</v>
      </c>
      <c r="I51" s="3" t="s">
        <v>19</v>
      </c>
      <c r="J51" s="3" t="s">
        <v>235</v>
      </c>
      <c r="K51" s="19">
        <v>1</v>
      </c>
      <c r="L51" s="3" t="s">
        <v>21</v>
      </c>
      <c r="M51" s="3" t="s">
        <v>38</v>
      </c>
      <c r="N51" s="20">
        <v>30.44</v>
      </c>
    </row>
    <row r="52" spans="1:14" ht="20.100000000000001" customHeight="1">
      <c r="A52" s="3" t="s">
        <v>236</v>
      </c>
      <c r="B52" s="18">
        <v>45138</v>
      </c>
      <c r="C52" s="3" t="s">
        <v>237</v>
      </c>
      <c r="D52" s="3" t="s">
        <v>32</v>
      </c>
      <c r="E52" s="19">
        <v>1</v>
      </c>
      <c r="F52" s="20">
        <v>179.22</v>
      </c>
      <c r="G52" s="3" t="s">
        <v>238</v>
      </c>
      <c r="H52" s="3" t="s">
        <v>27</v>
      </c>
      <c r="I52" s="3" t="s">
        <v>35</v>
      </c>
      <c r="J52" s="3" t="s">
        <v>239</v>
      </c>
      <c r="K52" s="19">
        <v>6</v>
      </c>
      <c r="L52" s="3" t="s">
        <v>37</v>
      </c>
      <c r="M52" s="3" t="s">
        <v>22</v>
      </c>
      <c r="N52" s="20">
        <v>179.22</v>
      </c>
    </row>
    <row r="53" spans="1:14" ht="20.100000000000001" customHeight="1">
      <c r="A53" s="3" t="s">
        <v>240</v>
      </c>
      <c r="B53" s="18">
        <v>45656</v>
      </c>
      <c r="C53" s="3" t="s">
        <v>241</v>
      </c>
      <c r="D53" s="3" t="s">
        <v>32</v>
      </c>
      <c r="E53" s="19">
        <v>1</v>
      </c>
      <c r="F53" s="20">
        <v>388.33</v>
      </c>
      <c r="G53" s="3" t="s">
        <v>242</v>
      </c>
      <c r="H53" s="3" t="s">
        <v>65</v>
      </c>
      <c r="I53" s="3" t="s">
        <v>43</v>
      </c>
      <c r="J53" s="3" t="s">
        <v>243</v>
      </c>
      <c r="K53" s="19">
        <v>2</v>
      </c>
      <c r="L53" s="3" t="s">
        <v>21</v>
      </c>
      <c r="M53" s="3" t="s">
        <v>45</v>
      </c>
      <c r="N53" s="20">
        <v>388.33</v>
      </c>
    </row>
    <row r="54" spans="1:14" ht="20.100000000000001" customHeight="1">
      <c r="A54" s="3" t="s">
        <v>244</v>
      </c>
      <c r="B54" s="18">
        <v>45543</v>
      </c>
      <c r="C54" s="3" t="s">
        <v>245</v>
      </c>
      <c r="D54" s="3" t="s">
        <v>32</v>
      </c>
      <c r="E54" s="19">
        <v>1</v>
      </c>
      <c r="F54" s="20">
        <v>586.44000000000005</v>
      </c>
      <c r="G54" s="3" t="s">
        <v>246</v>
      </c>
      <c r="H54" s="3" t="s">
        <v>27</v>
      </c>
      <c r="I54" s="3" t="s">
        <v>43</v>
      </c>
      <c r="J54" s="3" t="s">
        <v>247</v>
      </c>
      <c r="K54" s="19">
        <v>5</v>
      </c>
      <c r="L54" s="3" t="s">
        <v>21</v>
      </c>
      <c r="M54" s="3" t="s">
        <v>45</v>
      </c>
      <c r="N54" s="20">
        <v>586.44000000000005</v>
      </c>
    </row>
    <row r="55" spans="1:14" ht="20.100000000000001" customHeight="1">
      <c r="A55" s="3" t="s">
        <v>248</v>
      </c>
      <c r="B55" s="18">
        <v>45430</v>
      </c>
      <c r="C55" s="3" t="s">
        <v>249</v>
      </c>
      <c r="D55" s="3" t="s">
        <v>25</v>
      </c>
      <c r="E55" s="19">
        <v>4</v>
      </c>
      <c r="F55" s="20">
        <v>488.78</v>
      </c>
      <c r="G55" s="3" t="s">
        <v>33</v>
      </c>
      <c r="H55" s="3" t="s">
        <v>27</v>
      </c>
      <c r="I55" s="3" t="s">
        <v>43</v>
      </c>
      <c r="J55" s="3" t="s">
        <v>250</v>
      </c>
      <c r="K55" s="19">
        <v>5</v>
      </c>
      <c r="L55" s="3" t="s">
        <v>37</v>
      </c>
      <c r="M55" s="3" t="s">
        <v>76</v>
      </c>
      <c r="N55" s="20">
        <v>1955.12</v>
      </c>
    </row>
    <row r="56" spans="1:14" ht="20.100000000000001" customHeight="1">
      <c r="A56" s="3" t="s">
        <v>251</v>
      </c>
      <c r="B56" s="18">
        <v>45743</v>
      </c>
      <c r="C56" s="3" t="s">
        <v>252</v>
      </c>
      <c r="D56" s="3" t="s">
        <v>41</v>
      </c>
      <c r="E56" s="19">
        <v>1</v>
      </c>
      <c r="F56" s="20">
        <v>280.25</v>
      </c>
      <c r="G56" s="3" t="s">
        <v>253</v>
      </c>
      <c r="H56" s="3" t="s">
        <v>27</v>
      </c>
      <c r="I56" s="3" t="s">
        <v>89</v>
      </c>
      <c r="J56" s="3" t="s">
        <v>254</v>
      </c>
      <c r="K56" s="19">
        <v>5</v>
      </c>
      <c r="L56" s="3" t="s">
        <v>81</v>
      </c>
      <c r="M56" s="3" t="s">
        <v>38</v>
      </c>
      <c r="N56" s="20">
        <v>280.25</v>
      </c>
    </row>
    <row r="57" spans="1:14" ht="20.100000000000001" customHeight="1">
      <c r="A57" s="3" t="s">
        <v>255</v>
      </c>
      <c r="B57" s="18">
        <v>45832</v>
      </c>
      <c r="C57" s="3" t="s">
        <v>256</v>
      </c>
      <c r="D57" s="3" t="s">
        <v>48</v>
      </c>
      <c r="E57" s="19">
        <v>3</v>
      </c>
      <c r="F57" s="20">
        <v>344.4</v>
      </c>
      <c r="G57" s="3" t="s">
        <v>257</v>
      </c>
      <c r="H57" s="3" t="s">
        <v>27</v>
      </c>
      <c r="I57" s="3" t="s">
        <v>35</v>
      </c>
      <c r="J57" s="3" t="s">
        <v>258</v>
      </c>
      <c r="K57" s="19">
        <v>3</v>
      </c>
      <c r="L57" s="3"/>
      <c r="M57" s="3" t="s">
        <v>45</v>
      </c>
      <c r="N57" s="20">
        <v>1033.2</v>
      </c>
    </row>
    <row r="58" spans="1:14" ht="20.100000000000001" customHeight="1">
      <c r="A58" s="3" t="s">
        <v>259</v>
      </c>
      <c r="B58" s="18">
        <v>45067</v>
      </c>
      <c r="C58" s="3" t="s">
        <v>260</v>
      </c>
      <c r="D58" s="3" t="s">
        <v>32</v>
      </c>
      <c r="E58" s="19">
        <v>3</v>
      </c>
      <c r="F58" s="20">
        <v>479.21</v>
      </c>
      <c r="G58" s="3" t="s">
        <v>261</v>
      </c>
      <c r="H58" s="3" t="s">
        <v>65</v>
      </c>
      <c r="I58" s="3" t="s">
        <v>35</v>
      </c>
      <c r="J58" s="3" t="s">
        <v>262</v>
      </c>
      <c r="K58" s="19">
        <v>5</v>
      </c>
      <c r="L58" s="3" t="s">
        <v>81</v>
      </c>
      <c r="M58" s="3" t="s">
        <v>29</v>
      </c>
      <c r="N58" s="20">
        <v>1437.63</v>
      </c>
    </row>
    <row r="59" spans="1:14" ht="20.100000000000001" customHeight="1">
      <c r="A59" s="3" t="s">
        <v>263</v>
      </c>
      <c r="B59" s="18">
        <v>44948</v>
      </c>
      <c r="C59" s="3" t="s">
        <v>264</v>
      </c>
      <c r="D59" s="3" t="s">
        <v>48</v>
      </c>
      <c r="E59" s="19">
        <v>5</v>
      </c>
      <c r="F59" s="20">
        <v>314.27</v>
      </c>
      <c r="G59" s="3" t="s">
        <v>265</v>
      </c>
      <c r="H59" s="3" t="s">
        <v>65</v>
      </c>
      <c r="I59" s="3" t="s">
        <v>43</v>
      </c>
      <c r="J59" s="3" t="s">
        <v>266</v>
      </c>
      <c r="K59" s="19">
        <v>6</v>
      </c>
      <c r="L59" s="3" t="s">
        <v>21</v>
      </c>
      <c r="M59" s="3" t="s">
        <v>22</v>
      </c>
      <c r="N59" s="20">
        <v>1571.35</v>
      </c>
    </row>
    <row r="60" spans="1:14" ht="20.100000000000001" customHeight="1">
      <c r="A60" s="3" t="s">
        <v>267</v>
      </c>
      <c r="B60" s="18">
        <v>44941</v>
      </c>
      <c r="C60" s="3" t="s">
        <v>268</v>
      </c>
      <c r="D60" s="3" t="s">
        <v>25</v>
      </c>
      <c r="E60" s="19">
        <v>4</v>
      </c>
      <c r="F60" s="20">
        <v>474.69</v>
      </c>
      <c r="G60" s="3" t="s">
        <v>269</v>
      </c>
      <c r="H60" s="3" t="s">
        <v>60</v>
      </c>
      <c r="I60" s="3" t="s">
        <v>35</v>
      </c>
      <c r="J60" s="3" t="s">
        <v>270</v>
      </c>
      <c r="K60" s="19">
        <v>6</v>
      </c>
      <c r="L60" s="3" t="s">
        <v>21</v>
      </c>
      <c r="M60" s="3" t="s">
        <v>76</v>
      </c>
      <c r="N60" s="20">
        <v>1898.76</v>
      </c>
    </row>
    <row r="61" spans="1:14" ht="20.100000000000001" customHeight="1">
      <c r="A61" s="3" t="s">
        <v>271</v>
      </c>
      <c r="B61" s="18">
        <v>45546</v>
      </c>
      <c r="C61" s="3" t="s">
        <v>272</v>
      </c>
      <c r="D61" s="3" t="s">
        <v>41</v>
      </c>
      <c r="E61" s="19">
        <v>4</v>
      </c>
      <c r="F61" s="20">
        <v>593.27</v>
      </c>
      <c r="G61" s="3" t="s">
        <v>273</v>
      </c>
      <c r="H61" s="3" t="s">
        <v>27</v>
      </c>
      <c r="I61" s="3" t="s">
        <v>19</v>
      </c>
      <c r="J61" s="3" t="s">
        <v>274</v>
      </c>
      <c r="K61" s="19">
        <v>5</v>
      </c>
      <c r="L61" s="3"/>
      <c r="M61" s="3" t="s">
        <v>45</v>
      </c>
      <c r="N61" s="20">
        <v>2373.08</v>
      </c>
    </row>
    <row r="62" spans="1:14" ht="20.100000000000001" customHeight="1">
      <c r="A62" s="3" t="s">
        <v>275</v>
      </c>
      <c r="B62" s="18">
        <v>45525</v>
      </c>
      <c r="C62" s="3" t="s">
        <v>276</v>
      </c>
      <c r="D62" s="3" t="s">
        <v>73</v>
      </c>
      <c r="E62" s="19">
        <v>1</v>
      </c>
      <c r="F62" s="20">
        <v>417.1</v>
      </c>
      <c r="G62" s="3" t="s">
        <v>277</v>
      </c>
      <c r="H62" s="3" t="s">
        <v>18</v>
      </c>
      <c r="I62" s="3" t="s">
        <v>43</v>
      </c>
      <c r="J62" s="3" t="s">
        <v>278</v>
      </c>
      <c r="K62" s="19">
        <v>3</v>
      </c>
      <c r="L62" s="3" t="s">
        <v>37</v>
      </c>
      <c r="M62" s="3" t="s">
        <v>29</v>
      </c>
      <c r="N62" s="20">
        <v>417.1</v>
      </c>
    </row>
    <row r="63" spans="1:14" ht="20.100000000000001" customHeight="1">
      <c r="A63" s="3" t="s">
        <v>279</v>
      </c>
      <c r="B63" s="18">
        <v>45375</v>
      </c>
      <c r="C63" s="3" t="s">
        <v>280</v>
      </c>
      <c r="D63" s="3" t="s">
        <v>73</v>
      </c>
      <c r="E63" s="19">
        <v>4</v>
      </c>
      <c r="F63" s="20">
        <v>122.2</v>
      </c>
      <c r="G63" s="3" t="s">
        <v>281</v>
      </c>
      <c r="H63" s="3" t="s">
        <v>65</v>
      </c>
      <c r="I63" s="3" t="s">
        <v>50</v>
      </c>
      <c r="J63" s="3" t="s">
        <v>282</v>
      </c>
      <c r="K63" s="19">
        <v>7</v>
      </c>
      <c r="L63" s="3" t="s">
        <v>37</v>
      </c>
      <c r="M63" s="3" t="s">
        <v>45</v>
      </c>
      <c r="N63" s="20">
        <v>488.8</v>
      </c>
    </row>
    <row r="64" spans="1:14" ht="20.100000000000001" customHeight="1">
      <c r="A64" s="3" t="s">
        <v>283</v>
      </c>
      <c r="B64" s="18">
        <v>45160</v>
      </c>
      <c r="C64" s="3" t="s">
        <v>284</v>
      </c>
      <c r="D64" s="3" t="s">
        <v>73</v>
      </c>
      <c r="E64" s="19">
        <v>2</v>
      </c>
      <c r="F64" s="20">
        <v>43.15</v>
      </c>
      <c r="G64" s="3" t="s">
        <v>285</v>
      </c>
      <c r="H64" s="3" t="s">
        <v>18</v>
      </c>
      <c r="I64" s="3" t="s">
        <v>89</v>
      </c>
      <c r="J64" s="3" t="s">
        <v>286</v>
      </c>
      <c r="K64" s="19">
        <v>3</v>
      </c>
      <c r="L64" s="3" t="s">
        <v>81</v>
      </c>
      <c r="M64" s="3" t="s">
        <v>38</v>
      </c>
      <c r="N64" s="20">
        <v>86.3</v>
      </c>
    </row>
    <row r="65" spans="1:14" ht="20.100000000000001" customHeight="1">
      <c r="A65" s="3" t="s">
        <v>287</v>
      </c>
      <c r="B65" s="18">
        <v>45690</v>
      </c>
      <c r="C65" s="3" t="s">
        <v>288</v>
      </c>
      <c r="D65" s="3" t="s">
        <v>41</v>
      </c>
      <c r="E65" s="19">
        <v>1</v>
      </c>
      <c r="F65" s="20">
        <v>564.86</v>
      </c>
      <c r="G65" s="3" t="s">
        <v>289</v>
      </c>
      <c r="H65" s="3" t="s">
        <v>18</v>
      </c>
      <c r="I65" s="3" t="s">
        <v>19</v>
      </c>
      <c r="J65" s="3" t="s">
        <v>290</v>
      </c>
      <c r="K65" s="19">
        <v>6</v>
      </c>
      <c r="L65" s="3" t="s">
        <v>81</v>
      </c>
      <c r="M65" s="3" t="s">
        <v>29</v>
      </c>
      <c r="N65" s="20">
        <v>564.86</v>
      </c>
    </row>
    <row r="66" spans="1:14" ht="20.100000000000001" customHeight="1">
      <c r="A66" s="3" t="s">
        <v>291</v>
      </c>
      <c r="B66" s="18">
        <v>45833</v>
      </c>
      <c r="C66" s="3" t="s">
        <v>292</v>
      </c>
      <c r="D66" s="3" t="s">
        <v>48</v>
      </c>
      <c r="E66" s="19">
        <v>3</v>
      </c>
      <c r="F66" s="20">
        <v>130.61000000000001</v>
      </c>
      <c r="G66" s="3" t="s">
        <v>293</v>
      </c>
      <c r="H66" s="3" t="s">
        <v>18</v>
      </c>
      <c r="I66" s="3" t="s">
        <v>35</v>
      </c>
      <c r="J66" s="3" t="s">
        <v>294</v>
      </c>
      <c r="K66" s="19">
        <v>4</v>
      </c>
      <c r="L66" s="3" t="s">
        <v>37</v>
      </c>
      <c r="M66" s="3" t="s">
        <v>45</v>
      </c>
      <c r="N66" s="20">
        <v>391.83</v>
      </c>
    </row>
    <row r="67" spans="1:14" ht="20.100000000000001" customHeight="1">
      <c r="A67" s="3" t="s">
        <v>295</v>
      </c>
      <c r="B67" s="18">
        <v>45290</v>
      </c>
      <c r="C67" s="3" t="s">
        <v>296</v>
      </c>
      <c r="D67" s="3" t="s">
        <v>16</v>
      </c>
      <c r="E67" s="19">
        <v>5</v>
      </c>
      <c r="F67" s="20">
        <v>81.7</v>
      </c>
      <c r="G67" s="3" t="s">
        <v>297</v>
      </c>
      <c r="H67" s="3" t="s">
        <v>34</v>
      </c>
      <c r="I67" s="3" t="s">
        <v>50</v>
      </c>
      <c r="J67" s="3" t="s">
        <v>298</v>
      </c>
      <c r="K67" s="19">
        <v>6</v>
      </c>
      <c r="L67" s="3"/>
      <c r="M67" s="3" t="s">
        <v>22</v>
      </c>
      <c r="N67" s="20">
        <v>408.5</v>
      </c>
    </row>
    <row r="68" spans="1:14" ht="20.100000000000001" customHeight="1">
      <c r="A68" s="3" t="s">
        <v>299</v>
      </c>
      <c r="B68" s="18">
        <v>45611</v>
      </c>
      <c r="C68" s="3" t="s">
        <v>300</v>
      </c>
      <c r="D68" s="3" t="s">
        <v>41</v>
      </c>
      <c r="E68" s="19">
        <v>5</v>
      </c>
      <c r="F68" s="20">
        <v>127.18</v>
      </c>
      <c r="G68" s="3" t="s">
        <v>301</v>
      </c>
      <c r="H68" s="3" t="s">
        <v>65</v>
      </c>
      <c r="I68" s="3" t="s">
        <v>35</v>
      </c>
      <c r="J68" s="3" t="s">
        <v>302</v>
      </c>
      <c r="K68" s="19">
        <v>9</v>
      </c>
      <c r="L68" s="3" t="s">
        <v>21</v>
      </c>
      <c r="M68" s="3" t="s">
        <v>29</v>
      </c>
      <c r="N68" s="20">
        <v>635.90000000000009</v>
      </c>
    </row>
    <row r="69" spans="1:14" ht="20.100000000000001" customHeight="1">
      <c r="A69" s="3" t="s">
        <v>303</v>
      </c>
      <c r="B69" s="18">
        <v>45635</v>
      </c>
      <c r="C69" s="3" t="s">
        <v>304</v>
      </c>
      <c r="D69" s="3" t="s">
        <v>48</v>
      </c>
      <c r="E69" s="19">
        <v>4</v>
      </c>
      <c r="F69" s="20">
        <v>12.1</v>
      </c>
      <c r="G69" s="3" t="s">
        <v>305</v>
      </c>
      <c r="H69" s="3" t="s">
        <v>18</v>
      </c>
      <c r="I69" s="3" t="s">
        <v>35</v>
      </c>
      <c r="J69" s="3" t="s">
        <v>306</v>
      </c>
      <c r="K69" s="19">
        <v>8</v>
      </c>
      <c r="L69" s="3"/>
      <c r="M69" s="3" t="s">
        <v>76</v>
      </c>
      <c r="N69" s="20">
        <v>48.4</v>
      </c>
    </row>
    <row r="70" spans="1:14" ht="20.100000000000001" customHeight="1">
      <c r="A70" s="3" t="s">
        <v>307</v>
      </c>
      <c r="B70" s="18">
        <v>45271</v>
      </c>
      <c r="C70" s="3" t="s">
        <v>308</v>
      </c>
      <c r="D70" s="3" t="s">
        <v>41</v>
      </c>
      <c r="E70" s="19">
        <v>3</v>
      </c>
      <c r="F70" s="20">
        <v>490.92</v>
      </c>
      <c r="G70" s="3" t="s">
        <v>141</v>
      </c>
      <c r="H70" s="3" t="s">
        <v>34</v>
      </c>
      <c r="I70" s="3" t="s">
        <v>89</v>
      </c>
      <c r="J70" s="3" t="s">
        <v>309</v>
      </c>
      <c r="K70" s="19">
        <v>5</v>
      </c>
      <c r="L70" s="3" t="s">
        <v>37</v>
      </c>
      <c r="M70" s="3" t="s">
        <v>38</v>
      </c>
      <c r="N70" s="20">
        <v>1472.76</v>
      </c>
    </row>
    <row r="71" spans="1:14" ht="20.100000000000001" customHeight="1">
      <c r="A71" s="3" t="s">
        <v>310</v>
      </c>
      <c r="B71" s="18">
        <v>45057</v>
      </c>
      <c r="C71" s="3" t="s">
        <v>311</v>
      </c>
      <c r="D71" s="3" t="s">
        <v>16</v>
      </c>
      <c r="E71" s="19">
        <v>3</v>
      </c>
      <c r="F71" s="20">
        <v>478.65</v>
      </c>
      <c r="G71" s="3" t="s">
        <v>312</v>
      </c>
      <c r="H71" s="3" t="s">
        <v>27</v>
      </c>
      <c r="I71" s="3" t="s">
        <v>19</v>
      </c>
      <c r="J71" s="3" t="s">
        <v>313</v>
      </c>
      <c r="K71" s="19">
        <v>4</v>
      </c>
      <c r="L71" s="3"/>
      <c r="M71" s="3" t="s">
        <v>29</v>
      </c>
      <c r="N71" s="20">
        <v>1435.95</v>
      </c>
    </row>
    <row r="72" spans="1:14" ht="20.100000000000001" customHeight="1">
      <c r="A72" s="3" t="s">
        <v>314</v>
      </c>
      <c r="B72" s="18">
        <v>45072</v>
      </c>
      <c r="C72" s="3" t="s">
        <v>315</v>
      </c>
      <c r="D72" s="3" t="s">
        <v>73</v>
      </c>
      <c r="E72" s="19">
        <v>1</v>
      </c>
      <c r="F72" s="20">
        <v>629.21</v>
      </c>
      <c r="G72" s="3" t="s">
        <v>316</v>
      </c>
      <c r="H72" s="3" t="s">
        <v>60</v>
      </c>
      <c r="I72" s="3" t="s">
        <v>89</v>
      </c>
      <c r="J72" s="3" t="s">
        <v>317</v>
      </c>
      <c r="K72" s="19">
        <v>2</v>
      </c>
      <c r="L72" s="3" t="s">
        <v>37</v>
      </c>
      <c r="M72" s="3" t="s">
        <v>22</v>
      </c>
      <c r="N72" s="20">
        <v>629.21</v>
      </c>
    </row>
    <row r="73" spans="1:14" ht="20.100000000000001" customHeight="1">
      <c r="A73" s="3" t="s">
        <v>318</v>
      </c>
      <c r="B73" s="18">
        <v>45818</v>
      </c>
      <c r="C73" s="3" t="s">
        <v>319</v>
      </c>
      <c r="D73" s="3" t="s">
        <v>16</v>
      </c>
      <c r="E73" s="19">
        <v>3</v>
      </c>
      <c r="F73" s="20">
        <v>434.45</v>
      </c>
      <c r="G73" s="3" t="s">
        <v>320</v>
      </c>
      <c r="H73" s="3" t="s">
        <v>34</v>
      </c>
      <c r="I73" s="3" t="s">
        <v>89</v>
      </c>
      <c r="J73" s="3" t="s">
        <v>321</v>
      </c>
      <c r="K73" s="19">
        <v>4</v>
      </c>
      <c r="L73" s="3"/>
      <c r="M73" s="3" t="s">
        <v>29</v>
      </c>
      <c r="N73" s="20">
        <v>1303.3499999999999</v>
      </c>
    </row>
    <row r="74" spans="1:14" ht="20.100000000000001" customHeight="1">
      <c r="A74" s="3" t="s">
        <v>322</v>
      </c>
      <c r="B74" s="18">
        <v>45648</v>
      </c>
      <c r="C74" s="3" t="s">
        <v>323</v>
      </c>
      <c r="D74" s="3" t="s">
        <v>32</v>
      </c>
      <c r="E74" s="19">
        <v>4</v>
      </c>
      <c r="F74" s="20">
        <v>589.44000000000005</v>
      </c>
      <c r="G74" s="3" t="s">
        <v>101</v>
      </c>
      <c r="H74" s="3" t="s">
        <v>60</v>
      </c>
      <c r="I74" s="3" t="s">
        <v>43</v>
      </c>
      <c r="J74" s="3" t="s">
        <v>324</v>
      </c>
      <c r="K74" s="19">
        <v>5</v>
      </c>
      <c r="L74" s="3"/>
      <c r="M74" s="3" t="s">
        <v>45</v>
      </c>
      <c r="N74" s="20">
        <v>2357.7600000000002</v>
      </c>
    </row>
    <row r="75" spans="1:14" ht="20.100000000000001" customHeight="1">
      <c r="A75" s="3" t="s">
        <v>325</v>
      </c>
      <c r="B75" s="18">
        <v>45049</v>
      </c>
      <c r="C75" s="3" t="s">
        <v>326</v>
      </c>
      <c r="D75" s="3" t="s">
        <v>16</v>
      </c>
      <c r="E75" s="19">
        <v>4</v>
      </c>
      <c r="F75" s="20">
        <v>433.45</v>
      </c>
      <c r="G75" s="3" t="s">
        <v>327</v>
      </c>
      <c r="H75" s="3" t="s">
        <v>60</v>
      </c>
      <c r="I75" s="3" t="s">
        <v>35</v>
      </c>
      <c r="J75" s="3" t="s">
        <v>328</v>
      </c>
      <c r="K75" s="19">
        <v>4</v>
      </c>
      <c r="L75" s="3"/>
      <c r="M75" s="3" t="s">
        <v>45</v>
      </c>
      <c r="N75" s="20">
        <v>1733.8</v>
      </c>
    </row>
    <row r="76" spans="1:14" ht="20.100000000000001" customHeight="1">
      <c r="A76" s="3" t="s">
        <v>329</v>
      </c>
      <c r="B76" s="18">
        <v>45101</v>
      </c>
      <c r="C76" s="3" t="s">
        <v>330</v>
      </c>
      <c r="D76" s="3" t="s">
        <v>25</v>
      </c>
      <c r="E76" s="19">
        <v>5</v>
      </c>
      <c r="F76" s="20">
        <v>90.87</v>
      </c>
      <c r="G76" s="3" t="s">
        <v>331</v>
      </c>
      <c r="H76" s="3" t="s">
        <v>65</v>
      </c>
      <c r="I76" s="3" t="s">
        <v>89</v>
      </c>
      <c r="J76" s="3" t="s">
        <v>332</v>
      </c>
      <c r="K76" s="19">
        <v>5</v>
      </c>
      <c r="L76" s="3"/>
      <c r="M76" s="3" t="s">
        <v>22</v>
      </c>
      <c r="N76" s="20">
        <v>454.35</v>
      </c>
    </row>
    <row r="77" spans="1:14" ht="20.100000000000001" customHeight="1">
      <c r="A77" s="3" t="s">
        <v>333</v>
      </c>
      <c r="B77" s="18">
        <v>45195</v>
      </c>
      <c r="C77" s="3" t="s">
        <v>334</v>
      </c>
      <c r="D77" s="3" t="s">
        <v>32</v>
      </c>
      <c r="E77" s="19">
        <v>3</v>
      </c>
      <c r="F77" s="20">
        <v>398.17</v>
      </c>
      <c r="G77" s="3" t="s">
        <v>335</v>
      </c>
      <c r="H77" s="3" t="s">
        <v>18</v>
      </c>
      <c r="I77" s="3" t="s">
        <v>50</v>
      </c>
      <c r="J77" s="3" t="s">
        <v>336</v>
      </c>
      <c r="K77" s="19">
        <v>5</v>
      </c>
      <c r="L77" s="3" t="s">
        <v>21</v>
      </c>
      <c r="M77" s="3" t="s">
        <v>38</v>
      </c>
      <c r="N77" s="20">
        <v>1194.51</v>
      </c>
    </row>
    <row r="78" spans="1:14" ht="20.100000000000001" customHeight="1">
      <c r="A78" s="3" t="s">
        <v>337</v>
      </c>
      <c r="B78" s="18">
        <v>45382</v>
      </c>
      <c r="C78" s="3" t="s">
        <v>338</v>
      </c>
      <c r="D78" s="3" t="s">
        <v>58</v>
      </c>
      <c r="E78" s="19">
        <v>4</v>
      </c>
      <c r="F78" s="20">
        <v>382.88</v>
      </c>
      <c r="G78" s="3" t="s">
        <v>339</v>
      </c>
      <c r="H78" s="3" t="s">
        <v>65</v>
      </c>
      <c r="I78" s="3" t="s">
        <v>35</v>
      </c>
      <c r="J78" s="3" t="s">
        <v>340</v>
      </c>
      <c r="K78" s="19">
        <v>6</v>
      </c>
      <c r="L78" s="3" t="s">
        <v>81</v>
      </c>
      <c r="M78" s="3" t="s">
        <v>38</v>
      </c>
      <c r="N78" s="20">
        <v>1531.52</v>
      </c>
    </row>
    <row r="79" spans="1:14" ht="20.100000000000001" customHeight="1">
      <c r="A79" s="3" t="s">
        <v>341</v>
      </c>
      <c r="B79" s="18">
        <v>45436</v>
      </c>
      <c r="C79" s="3" t="s">
        <v>342</v>
      </c>
      <c r="D79" s="3" t="s">
        <v>25</v>
      </c>
      <c r="E79" s="19">
        <v>1</v>
      </c>
      <c r="F79" s="20">
        <v>583.17999999999995</v>
      </c>
      <c r="G79" s="3" t="s">
        <v>343</v>
      </c>
      <c r="H79" s="3" t="s">
        <v>34</v>
      </c>
      <c r="I79" s="3" t="s">
        <v>43</v>
      </c>
      <c r="J79" s="3" t="s">
        <v>344</v>
      </c>
      <c r="K79" s="19">
        <v>5</v>
      </c>
      <c r="L79" s="3"/>
      <c r="M79" s="3" t="s">
        <v>76</v>
      </c>
      <c r="N79" s="20">
        <v>583.17999999999995</v>
      </c>
    </row>
    <row r="80" spans="1:14" ht="20.100000000000001" customHeight="1">
      <c r="A80" s="3" t="s">
        <v>345</v>
      </c>
      <c r="B80" s="18">
        <v>45510</v>
      </c>
      <c r="C80" s="3" t="s">
        <v>346</v>
      </c>
      <c r="D80" s="3" t="s">
        <v>48</v>
      </c>
      <c r="E80" s="19">
        <v>4</v>
      </c>
      <c r="F80" s="20">
        <v>175.36</v>
      </c>
      <c r="G80" s="3" t="s">
        <v>347</v>
      </c>
      <c r="H80" s="3" t="s">
        <v>18</v>
      </c>
      <c r="I80" s="3" t="s">
        <v>50</v>
      </c>
      <c r="J80" s="3" t="s">
        <v>348</v>
      </c>
      <c r="K80" s="19">
        <v>4</v>
      </c>
      <c r="L80" s="3" t="s">
        <v>37</v>
      </c>
      <c r="M80" s="3" t="s">
        <v>22</v>
      </c>
      <c r="N80" s="20">
        <v>701.44</v>
      </c>
    </row>
    <row r="81" spans="1:14" ht="20.100000000000001" customHeight="1">
      <c r="A81" s="3" t="s">
        <v>349</v>
      </c>
      <c r="B81" s="18">
        <v>45726</v>
      </c>
      <c r="C81" s="3" t="s">
        <v>350</v>
      </c>
      <c r="D81" s="3" t="s">
        <v>32</v>
      </c>
      <c r="E81" s="19">
        <v>2</v>
      </c>
      <c r="F81" s="20">
        <v>311.91000000000003</v>
      </c>
      <c r="G81" s="3" t="s">
        <v>351</v>
      </c>
      <c r="H81" s="3" t="s">
        <v>27</v>
      </c>
      <c r="I81" s="3" t="s">
        <v>19</v>
      </c>
      <c r="J81" s="3" t="s">
        <v>352</v>
      </c>
      <c r="K81" s="19">
        <v>2</v>
      </c>
      <c r="L81" s="3"/>
      <c r="M81" s="3" t="s">
        <v>45</v>
      </c>
      <c r="N81" s="20">
        <v>623.82000000000005</v>
      </c>
    </row>
    <row r="82" spans="1:14" ht="20.100000000000001" customHeight="1">
      <c r="A82" s="3" t="s">
        <v>353</v>
      </c>
      <c r="B82" s="18">
        <v>45104</v>
      </c>
      <c r="C82" s="3" t="s">
        <v>354</v>
      </c>
      <c r="D82" s="3" t="s">
        <v>25</v>
      </c>
      <c r="E82" s="19">
        <v>3</v>
      </c>
      <c r="F82" s="20">
        <v>589.55999999999995</v>
      </c>
      <c r="G82" s="3" t="s">
        <v>355</v>
      </c>
      <c r="H82" s="3" t="s">
        <v>27</v>
      </c>
      <c r="I82" s="3" t="s">
        <v>43</v>
      </c>
      <c r="J82" s="3" t="s">
        <v>356</v>
      </c>
      <c r="K82" s="19">
        <v>6</v>
      </c>
      <c r="L82" s="3"/>
      <c r="M82" s="3" t="s">
        <v>45</v>
      </c>
      <c r="N82" s="20">
        <v>1768.68</v>
      </c>
    </row>
    <row r="83" spans="1:14" ht="20.100000000000001" customHeight="1">
      <c r="A83" s="3" t="s">
        <v>357</v>
      </c>
      <c r="B83" s="18">
        <v>45085</v>
      </c>
      <c r="C83" s="3" t="s">
        <v>358</v>
      </c>
      <c r="D83" s="3" t="s">
        <v>16</v>
      </c>
      <c r="E83" s="19">
        <v>2</v>
      </c>
      <c r="F83" s="20">
        <v>394.3</v>
      </c>
      <c r="G83" s="3" t="s">
        <v>359</v>
      </c>
      <c r="H83" s="3" t="s">
        <v>65</v>
      </c>
      <c r="I83" s="3" t="s">
        <v>19</v>
      </c>
      <c r="J83" s="3" t="s">
        <v>360</v>
      </c>
      <c r="K83" s="19">
        <v>6</v>
      </c>
      <c r="L83" s="3" t="s">
        <v>37</v>
      </c>
      <c r="M83" s="3" t="s">
        <v>38</v>
      </c>
      <c r="N83" s="20">
        <v>788.6</v>
      </c>
    </row>
    <row r="84" spans="1:14" ht="20.100000000000001" customHeight="1">
      <c r="A84" s="3" t="s">
        <v>361</v>
      </c>
      <c r="B84" s="18">
        <v>45296</v>
      </c>
      <c r="C84" s="3" t="s">
        <v>362</v>
      </c>
      <c r="D84" s="3" t="s">
        <v>32</v>
      </c>
      <c r="E84" s="19">
        <v>4</v>
      </c>
      <c r="F84" s="20">
        <v>565.20000000000005</v>
      </c>
      <c r="G84" s="3" t="s">
        <v>363</v>
      </c>
      <c r="H84" s="3" t="s">
        <v>18</v>
      </c>
      <c r="I84" s="3" t="s">
        <v>19</v>
      </c>
      <c r="J84" s="3" t="s">
        <v>364</v>
      </c>
      <c r="K84" s="19">
        <v>9</v>
      </c>
      <c r="L84" s="3" t="s">
        <v>21</v>
      </c>
      <c r="M84" s="3" t="s">
        <v>76</v>
      </c>
      <c r="N84" s="20">
        <v>2260.8000000000002</v>
      </c>
    </row>
    <row r="85" spans="1:14" ht="20.100000000000001" customHeight="1">
      <c r="A85" s="3" t="s">
        <v>365</v>
      </c>
      <c r="B85" s="18">
        <v>45160</v>
      </c>
      <c r="C85" s="3" t="s">
        <v>366</v>
      </c>
      <c r="D85" s="3" t="s">
        <v>58</v>
      </c>
      <c r="E85" s="19">
        <v>4</v>
      </c>
      <c r="F85" s="20">
        <v>540.41</v>
      </c>
      <c r="G85" s="3" t="s">
        <v>367</v>
      </c>
      <c r="H85" s="3" t="s">
        <v>34</v>
      </c>
      <c r="I85" s="3" t="s">
        <v>35</v>
      </c>
      <c r="J85" s="3" t="s">
        <v>368</v>
      </c>
      <c r="K85" s="19">
        <v>6</v>
      </c>
      <c r="L85" s="3"/>
      <c r="M85" s="3" t="s">
        <v>29</v>
      </c>
      <c r="N85" s="20">
        <v>2161.64</v>
      </c>
    </row>
    <row r="86" spans="1:14" ht="20.100000000000001" customHeight="1">
      <c r="A86" s="3" t="s">
        <v>369</v>
      </c>
      <c r="B86" s="18">
        <v>45166</v>
      </c>
      <c r="C86" s="3" t="s">
        <v>370</v>
      </c>
      <c r="D86" s="3" t="s">
        <v>16</v>
      </c>
      <c r="E86" s="19">
        <v>2</v>
      </c>
      <c r="F86" s="20">
        <v>165.49</v>
      </c>
      <c r="G86" s="3" t="s">
        <v>371</v>
      </c>
      <c r="H86" s="3" t="s">
        <v>27</v>
      </c>
      <c r="I86" s="3" t="s">
        <v>19</v>
      </c>
      <c r="J86" s="3" t="s">
        <v>372</v>
      </c>
      <c r="K86" s="19">
        <v>4</v>
      </c>
      <c r="L86" s="3" t="s">
        <v>81</v>
      </c>
      <c r="M86" s="3" t="s">
        <v>22</v>
      </c>
      <c r="N86" s="20">
        <v>330.98</v>
      </c>
    </row>
    <row r="87" spans="1:14" ht="20.100000000000001" customHeight="1">
      <c r="A87" s="3" t="s">
        <v>373</v>
      </c>
      <c r="B87" s="18">
        <v>45544</v>
      </c>
      <c r="C87" s="3" t="s">
        <v>374</v>
      </c>
      <c r="D87" s="3" t="s">
        <v>32</v>
      </c>
      <c r="E87" s="19">
        <v>3</v>
      </c>
      <c r="F87" s="20">
        <v>146.72999999999999</v>
      </c>
      <c r="G87" s="3" t="s">
        <v>375</v>
      </c>
      <c r="H87" s="3" t="s">
        <v>65</v>
      </c>
      <c r="I87" s="3" t="s">
        <v>50</v>
      </c>
      <c r="J87" s="3" t="s">
        <v>376</v>
      </c>
      <c r="K87" s="19">
        <v>8</v>
      </c>
      <c r="L87" s="3" t="s">
        <v>37</v>
      </c>
      <c r="M87" s="3" t="s">
        <v>38</v>
      </c>
      <c r="N87" s="20">
        <v>440.18999999999988</v>
      </c>
    </row>
    <row r="88" spans="1:14" ht="20.100000000000001" customHeight="1">
      <c r="A88" s="3" t="s">
        <v>377</v>
      </c>
      <c r="B88" s="18">
        <v>45462</v>
      </c>
      <c r="C88" s="3" t="s">
        <v>378</v>
      </c>
      <c r="D88" s="3" t="s">
        <v>48</v>
      </c>
      <c r="E88" s="19">
        <v>5</v>
      </c>
      <c r="F88" s="20">
        <v>643.03</v>
      </c>
      <c r="G88" s="3" t="s">
        <v>379</v>
      </c>
      <c r="H88" s="3" t="s">
        <v>27</v>
      </c>
      <c r="I88" s="3" t="s">
        <v>35</v>
      </c>
      <c r="J88" s="3" t="s">
        <v>380</v>
      </c>
      <c r="K88" s="19">
        <v>5</v>
      </c>
      <c r="L88" s="3" t="s">
        <v>37</v>
      </c>
      <c r="M88" s="3" t="s">
        <v>29</v>
      </c>
      <c r="N88" s="20">
        <v>3215.15</v>
      </c>
    </row>
    <row r="89" spans="1:14" ht="20.100000000000001" customHeight="1">
      <c r="A89" s="3" t="s">
        <v>381</v>
      </c>
      <c r="B89" s="18">
        <v>45575</v>
      </c>
      <c r="C89" s="3" t="s">
        <v>382</v>
      </c>
      <c r="D89" s="3" t="s">
        <v>32</v>
      </c>
      <c r="E89" s="19">
        <v>3</v>
      </c>
      <c r="F89" s="20">
        <v>225.11</v>
      </c>
      <c r="G89" s="3" t="s">
        <v>383</v>
      </c>
      <c r="H89" s="3" t="s">
        <v>65</v>
      </c>
      <c r="I89" s="3" t="s">
        <v>19</v>
      </c>
      <c r="J89" s="3" t="s">
        <v>384</v>
      </c>
      <c r="K89" s="19">
        <v>4</v>
      </c>
      <c r="L89" s="3" t="s">
        <v>21</v>
      </c>
      <c r="M89" s="3" t="s">
        <v>45</v>
      </c>
      <c r="N89" s="20">
        <v>675.33</v>
      </c>
    </row>
    <row r="90" spans="1:14" ht="20.100000000000001" customHeight="1">
      <c r="A90" s="3" t="s">
        <v>385</v>
      </c>
      <c r="B90" s="18">
        <v>45813</v>
      </c>
      <c r="C90" s="3" t="s">
        <v>386</v>
      </c>
      <c r="D90" s="3" t="s">
        <v>73</v>
      </c>
      <c r="E90" s="19">
        <v>3</v>
      </c>
      <c r="F90" s="20">
        <v>114.81</v>
      </c>
      <c r="G90" s="3" t="s">
        <v>387</v>
      </c>
      <c r="H90" s="3" t="s">
        <v>60</v>
      </c>
      <c r="I90" s="3" t="s">
        <v>35</v>
      </c>
      <c r="J90" s="3" t="s">
        <v>388</v>
      </c>
      <c r="K90" s="19">
        <v>7</v>
      </c>
      <c r="L90" s="3"/>
      <c r="M90" s="3" t="s">
        <v>76</v>
      </c>
      <c r="N90" s="20">
        <v>344.43</v>
      </c>
    </row>
    <row r="91" spans="1:14" ht="20.100000000000001" customHeight="1">
      <c r="A91" s="3" t="s">
        <v>389</v>
      </c>
      <c r="B91" s="18">
        <v>45713</v>
      </c>
      <c r="C91" s="3" t="s">
        <v>390</v>
      </c>
      <c r="D91" s="3" t="s">
        <v>48</v>
      </c>
      <c r="E91" s="19">
        <v>5</v>
      </c>
      <c r="F91" s="20">
        <v>455.33</v>
      </c>
      <c r="G91" s="3" t="s">
        <v>391</v>
      </c>
      <c r="H91" s="3" t="s">
        <v>34</v>
      </c>
      <c r="I91" s="3" t="s">
        <v>35</v>
      </c>
      <c r="J91" s="3" t="s">
        <v>392</v>
      </c>
      <c r="K91" s="19">
        <v>8</v>
      </c>
      <c r="L91" s="3" t="s">
        <v>37</v>
      </c>
      <c r="M91" s="3" t="s">
        <v>76</v>
      </c>
      <c r="N91" s="20">
        <v>2276.65</v>
      </c>
    </row>
    <row r="92" spans="1:14" ht="20.100000000000001" customHeight="1">
      <c r="A92" s="3" t="s">
        <v>393</v>
      </c>
      <c r="B92" s="18">
        <v>45187</v>
      </c>
      <c r="C92" s="3" t="s">
        <v>394</v>
      </c>
      <c r="D92" s="3" t="s">
        <v>41</v>
      </c>
      <c r="E92" s="19">
        <v>4</v>
      </c>
      <c r="F92" s="20">
        <v>182.08</v>
      </c>
      <c r="G92" s="3" t="s">
        <v>395</v>
      </c>
      <c r="H92" s="3" t="s">
        <v>60</v>
      </c>
      <c r="I92" s="3" t="s">
        <v>50</v>
      </c>
      <c r="J92" s="3" t="s">
        <v>396</v>
      </c>
      <c r="K92" s="19">
        <v>4</v>
      </c>
      <c r="L92" s="3" t="s">
        <v>21</v>
      </c>
      <c r="M92" s="3" t="s">
        <v>38</v>
      </c>
      <c r="N92" s="20">
        <v>728.32</v>
      </c>
    </row>
    <row r="93" spans="1:14" ht="20.100000000000001" customHeight="1">
      <c r="A93" s="3" t="s">
        <v>397</v>
      </c>
      <c r="B93" s="18">
        <v>45000</v>
      </c>
      <c r="C93" s="3" t="s">
        <v>398</v>
      </c>
      <c r="D93" s="3" t="s">
        <v>58</v>
      </c>
      <c r="E93" s="19">
        <v>5</v>
      </c>
      <c r="F93" s="20">
        <v>492.75</v>
      </c>
      <c r="G93" s="3" t="s">
        <v>399</v>
      </c>
      <c r="H93" s="3" t="s">
        <v>65</v>
      </c>
      <c r="I93" s="3" t="s">
        <v>19</v>
      </c>
      <c r="J93" s="3" t="s">
        <v>400</v>
      </c>
      <c r="K93" s="19">
        <v>6</v>
      </c>
      <c r="L93" s="3" t="s">
        <v>81</v>
      </c>
      <c r="M93" s="3" t="s">
        <v>29</v>
      </c>
      <c r="N93" s="20">
        <v>2463.75</v>
      </c>
    </row>
    <row r="94" spans="1:14" ht="20.100000000000001" customHeight="1">
      <c r="A94" s="3" t="s">
        <v>401</v>
      </c>
      <c r="B94" s="18">
        <v>45453</v>
      </c>
      <c r="C94" s="3" t="s">
        <v>402</v>
      </c>
      <c r="D94" s="3" t="s">
        <v>48</v>
      </c>
      <c r="E94" s="19">
        <v>4</v>
      </c>
      <c r="F94" s="20">
        <v>48.61</v>
      </c>
      <c r="G94" s="3" t="s">
        <v>403</v>
      </c>
      <c r="H94" s="3" t="s">
        <v>27</v>
      </c>
      <c r="I94" s="3" t="s">
        <v>19</v>
      </c>
      <c r="J94" s="3" t="s">
        <v>404</v>
      </c>
      <c r="K94" s="19">
        <v>7</v>
      </c>
      <c r="L94" s="3" t="s">
        <v>37</v>
      </c>
      <c r="M94" s="3" t="s">
        <v>45</v>
      </c>
      <c r="N94" s="20">
        <v>194.44</v>
      </c>
    </row>
    <row r="95" spans="1:14" ht="20.100000000000001" customHeight="1">
      <c r="A95" s="3" t="s">
        <v>405</v>
      </c>
      <c r="B95" s="18">
        <v>44940</v>
      </c>
      <c r="C95" s="3" t="s">
        <v>406</v>
      </c>
      <c r="D95" s="3" t="s">
        <v>73</v>
      </c>
      <c r="E95" s="19">
        <v>4</v>
      </c>
      <c r="F95" s="20">
        <v>431.01</v>
      </c>
      <c r="G95" s="3" t="s">
        <v>407</v>
      </c>
      <c r="H95" s="3" t="s">
        <v>34</v>
      </c>
      <c r="I95" s="3" t="s">
        <v>43</v>
      </c>
      <c r="J95" s="3" t="s">
        <v>408</v>
      </c>
      <c r="K95" s="19">
        <v>7</v>
      </c>
      <c r="L95" s="3"/>
      <c r="M95" s="3" t="s">
        <v>29</v>
      </c>
      <c r="N95" s="20">
        <v>1724.04</v>
      </c>
    </row>
    <row r="96" spans="1:14" ht="20.100000000000001" customHeight="1">
      <c r="A96" s="3" t="s">
        <v>409</v>
      </c>
      <c r="B96" s="18">
        <v>44968</v>
      </c>
      <c r="C96" s="3" t="s">
        <v>410</v>
      </c>
      <c r="D96" s="3" t="s">
        <v>41</v>
      </c>
      <c r="E96" s="19">
        <v>1</v>
      </c>
      <c r="F96" s="20">
        <v>531.17999999999995</v>
      </c>
      <c r="G96" s="3" t="s">
        <v>411</v>
      </c>
      <c r="H96" s="3" t="s">
        <v>60</v>
      </c>
      <c r="I96" s="3" t="s">
        <v>43</v>
      </c>
      <c r="J96" s="3" t="s">
        <v>412</v>
      </c>
      <c r="K96" s="19">
        <v>6</v>
      </c>
      <c r="L96" s="3" t="s">
        <v>81</v>
      </c>
      <c r="M96" s="3" t="s">
        <v>22</v>
      </c>
      <c r="N96" s="20">
        <v>531.17999999999995</v>
      </c>
    </row>
    <row r="97" spans="1:14" ht="20.100000000000001" customHeight="1">
      <c r="A97" s="3" t="s">
        <v>413</v>
      </c>
      <c r="B97" s="18">
        <v>45009</v>
      </c>
      <c r="C97" s="3" t="s">
        <v>414</v>
      </c>
      <c r="D97" s="3" t="s">
        <v>48</v>
      </c>
      <c r="E97" s="19">
        <v>4</v>
      </c>
      <c r="F97" s="20">
        <v>117.51</v>
      </c>
      <c r="G97" s="3" t="s">
        <v>415</v>
      </c>
      <c r="H97" s="3" t="s">
        <v>18</v>
      </c>
      <c r="I97" s="3" t="s">
        <v>43</v>
      </c>
      <c r="J97" s="3" t="s">
        <v>416</v>
      </c>
      <c r="K97" s="19">
        <v>7</v>
      </c>
      <c r="L97" s="3"/>
      <c r="M97" s="3" t="s">
        <v>29</v>
      </c>
      <c r="N97" s="20">
        <v>470.04</v>
      </c>
    </row>
    <row r="98" spans="1:14" ht="20.100000000000001" customHeight="1">
      <c r="A98" s="3" t="s">
        <v>417</v>
      </c>
      <c r="B98" s="18">
        <v>45444</v>
      </c>
      <c r="C98" s="3" t="s">
        <v>418</v>
      </c>
      <c r="D98" s="3" t="s">
        <v>25</v>
      </c>
      <c r="E98" s="19">
        <v>2</v>
      </c>
      <c r="F98" s="20">
        <v>232.83</v>
      </c>
      <c r="G98" s="3" t="s">
        <v>351</v>
      </c>
      <c r="H98" s="3" t="s">
        <v>60</v>
      </c>
      <c r="I98" s="3" t="s">
        <v>50</v>
      </c>
      <c r="J98" s="3" t="s">
        <v>419</v>
      </c>
      <c r="K98" s="19">
        <v>7</v>
      </c>
      <c r="L98" s="3"/>
      <c r="M98" s="3" t="s">
        <v>22</v>
      </c>
      <c r="N98" s="20">
        <v>465.66</v>
      </c>
    </row>
    <row r="99" spans="1:14" ht="20.100000000000001" customHeight="1">
      <c r="A99" s="3" t="s">
        <v>420</v>
      </c>
      <c r="B99" s="18">
        <v>45678</v>
      </c>
      <c r="C99" s="3" t="s">
        <v>421</v>
      </c>
      <c r="D99" s="3" t="s">
        <v>32</v>
      </c>
      <c r="E99" s="19">
        <v>5</v>
      </c>
      <c r="F99" s="20">
        <v>619.52</v>
      </c>
      <c r="G99" s="3" t="s">
        <v>422</v>
      </c>
      <c r="H99" s="3" t="s">
        <v>18</v>
      </c>
      <c r="I99" s="3" t="s">
        <v>89</v>
      </c>
      <c r="J99" s="3" t="s">
        <v>423</v>
      </c>
      <c r="K99" s="19">
        <v>9</v>
      </c>
      <c r="L99" s="3"/>
      <c r="M99" s="3" t="s">
        <v>38</v>
      </c>
      <c r="N99" s="20">
        <v>3097.6</v>
      </c>
    </row>
    <row r="100" spans="1:14" ht="20.100000000000001" customHeight="1">
      <c r="A100" s="3" t="s">
        <v>424</v>
      </c>
      <c r="B100" s="18">
        <v>44940</v>
      </c>
      <c r="C100" s="3" t="s">
        <v>425</v>
      </c>
      <c r="D100" s="3" t="s">
        <v>48</v>
      </c>
      <c r="E100" s="19">
        <v>2</v>
      </c>
      <c r="F100" s="20">
        <v>228.54</v>
      </c>
      <c r="G100" s="3" t="s">
        <v>426</v>
      </c>
      <c r="H100" s="3" t="s">
        <v>18</v>
      </c>
      <c r="I100" s="3" t="s">
        <v>89</v>
      </c>
      <c r="J100" s="3" t="s">
        <v>427</v>
      </c>
      <c r="K100" s="19">
        <v>3</v>
      </c>
      <c r="L100" s="3"/>
      <c r="M100" s="3" t="s">
        <v>38</v>
      </c>
      <c r="N100" s="20">
        <v>457.08</v>
      </c>
    </row>
    <row r="101" spans="1:14" ht="20.100000000000001" customHeight="1">
      <c r="A101" s="3" t="s">
        <v>428</v>
      </c>
      <c r="B101" s="18">
        <v>45759</v>
      </c>
      <c r="C101" s="3" t="s">
        <v>429</v>
      </c>
      <c r="D101" s="3" t="s">
        <v>48</v>
      </c>
      <c r="E101" s="19">
        <v>1</v>
      </c>
      <c r="F101" s="20">
        <v>201.58</v>
      </c>
      <c r="G101" s="3" t="s">
        <v>430</v>
      </c>
      <c r="H101" s="3" t="s">
        <v>18</v>
      </c>
      <c r="I101" s="3" t="s">
        <v>35</v>
      </c>
      <c r="J101" s="3" t="s">
        <v>431</v>
      </c>
      <c r="K101" s="19">
        <v>2</v>
      </c>
      <c r="L101" s="3" t="s">
        <v>81</v>
      </c>
      <c r="M101" s="3" t="s">
        <v>38</v>
      </c>
      <c r="N101" s="20">
        <v>201.58</v>
      </c>
    </row>
    <row r="102" spans="1:14" ht="20.100000000000001" customHeight="1">
      <c r="A102" s="3" t="s">
        <v>432</v>
      </c>
      <c r="B102" s="18">
        <v>44974</v>
      </c>
      <c r="C102" s="3" t="s">
        <v>433</v>
      </c>
      <c r="D102" s="3" t="s">
        <v>25</v>
      </c>
      <c r="E102" s="19">
        <v>3</v>
      </c>
      <c r="F102" s="20">
        <v>664.79</v>
      </c>
      <c r="G102" s="3" t="s">
        <v>434</v>
      </c>
      <c r="H102" s="3" t="s">
        <v>27</v>
      </c>
      <c r="I102" s="3" t="s">
        <v>50</v>
      </c>
      <c r="J102" s="3" t="s">
        <v>435</v>
      </c>
      <c r="K102" s="19">
        <v>6</v>
      </c>
      <c r="L102" s="3"/>
      <c r="M102" s="3" t="s">
        <v>45</v>
      </c>
      <c r="N102" s="20">
        <v>1994.37</v>
      </c>
    </row>
    <row r="103" spans="1:14" ht="20.100000000000001" customHeight="1">
      <c r="A103" s="3" t="s">
        <v>436</v>
      </c>
      <c r="B103" s="18">
        <v>45255</v>
      </c>
      <c r="C103" s="3" t="s">
        <v>437</v>
      </c>
      <c r="D103" s="3" t="s">
        <v>48</v>
      </c>
      <c r="E103" s="19">
        <v>1</v>
      </c>
      <c r="F103" s="20">
        <v>381.02</v>
      </c>
      <c r="G103" s="3" t="s">
        <v>438</v>
      </c>
      <c r="H103" s="3" t="s">
        <v>65</v>
      </c>
      <c r="I103" s="3" t="s">
        <v>19</v>
      </c>
      <c r="J103" s="3" t="s">
        <v>439</v>
      </c>
      <c r="K103" s="19">
        <v>6</v>
      </c>
      <c r="L103" s="3"/>
      <c r="M103" s="3" t="s">
        <v>76</v>
      </c>
      <c r="N103" s="20">
        <v>381.02</v>
      </c>
    </row>
    <row r="104" spans="1:14" ht="20.100000000000001" customHeight="1">
      <c r="A104" s="3" t="s">
        <v>440</v>
      </c>
      <c r="B104" s="18">
        <v>44993</v>
      </c>
      <c r="C104" s="3" t="s">
        <v>441</v>
      </c>
      <c r="D104" s="3" t="s">
        <v>58</v>
      </c>
      <c r="E104" s="19">
        <v>2</v>
      </c>
      <c r="F104" s="20">
        <v>70.34</v>
      </c>
      <c r="G104" s="3" t="s">
        <v>442</v>
      </c>
      <c r="H104" s="3" t="s">
        <v>60</v>
      </c>
      <c r="I104" s="3" t="s">
        <v>35</v>
      </c>
      <c r="J104" s="3" t="s">
        <v>443</v>
      </c>
      <c r="K104" s="19">
        <v>3</v>
      </c>
      <c r="L104" s="3" t="s">
        <v>37</v>
      </c>
      <c r="M104" s="3" t="s">
        <v>38</v>
      </c>
      <c r="N104" s="20">
        <v>140.68</v>
      </c>
    </row>
    <row r="105" spans="1:14" ht="20.100000000000001" customHeight="1">
      <c r="A105" s="3" t="s">
        <v>444</v>
      </c>
      <c r="B105" s="18">
        <v>45682</v>
      </c>
      <c r="C105" s="3" t="s">
        <v>445</v>
      </c>
      <c r="D105" s="3" t="s">
        <v>25</v>
      </c>
      <c r="E105" s="19">
        <v>4</v>
      </c>
      <c r="F105" s="20">
        <v>218.43</v>
      </c>
      <c r="G105" s="3" t="s">
        <v>446</v>
      </c>
      <c r="H105" s="3" t="s">
        <v>34</v>
      </c>
      <c r="I105" s="3" t="s">
        <v>35</v>
      </c>
      <c r="J105" s="3" t="s">
        <v>447</v>
      </c>
      <c r="K105" s="19">
        <v>9</v>
      </c>
      <c r="L105" s="3" t="s">
        <v>21</v>
      </c>
      <c r="M105" s="3" t="s">
        <v>38</v>
      </c>
      <c r="N105" s="20">
        <v>873.72</v>
      </c>
    </row>
    <row r="106" spans="1:14" ht="20.100000000000001" customHeight="1">
      <c r="A106" s="3" t="s">
        <v>448</v>
      </c>
      <c r="B106" s="18">
        <v>45503</v>
      </c>
      <c r="C106" s="3" t="s">
        <v>449</v>
      </c>
      <c r="D106" s="3" t="s">
        <v>25</v>
      </c>
      <c r="E106" s="19">
        <v>1</v>
      </c>
      <c r="F106" s="20">
        <v>582.04</v>
      </c>
      <c r="G106" s="3" t="s">
        <v>450</v>
      </c>
      <c r="H106" s="3" t="s">
        <v>60</v>
      </c>
      <c r="I106" s="3" t="s">
        <v>50</v>
      </c>
      <c r="J106" s="3" t="s">
        <v>451</v>
      </c>
      <c r="K106" s="19">
        <v>1</v>
      </c>
      <c r="L106" s="3" t="s">
        <v>37</v>
      </c>
      <c r="M106" s="3" t="s">
        <v>38</v>
      </c>
      <c r="N106" s="20">
        <v>582.04</v>
      </c>
    </row>
    <row r="107" spans="1:14" ht="20.100000000000001" customHeight="1">
      <c r="A107" s="3" t="s">
        <v>452</v>
      </c>
      <c r="B107" s="18">
        <v>45589</v>
      </c>
      <c r="C107" s="3" t="s">
        <v>453</v>
      </c>
      <c r="D107" s="3" t="s">
        <v>48</v>
      </c>
      <c r="E107" s="19">
        <v>3</v>
      </c>
      <c r="F107" s="20">
        <v>185.4</v>
      </c>
      <c r="G107" s="3" t="s">
        <v>454</v>
      </c>
      <c r="H107" s="3" t="s">
        <v>60</v>
      </c>
      <c r="I107" s="3" t="s">
        <v>35</v>
      </c>
      <c r="J107" s="3" t="s">
        <v>455</v>
      </c>
      <c r="K107" s="19">
        <v>7</v>
      </c>
      <c r="L107" s="3"/>
      <c r="M107" s="3" t="s">
        <v>45</v>
      </c>
      <c r="N107" s="20">
        <v>556.20000000000005</v>
      </c>
    </row>
    <row r="108" spans="1:14" ht="20.100000000000001" customHeight="1">
      <c r="A108" s="3" t="s">
        <v>456</v>
      </c>
      <c r="B108" s="18">
        <v>45177</v>
      </c>
      <c r="C108" s="3" t="s">
        <v>457</v>
      </c>
      <c r="D108" s="3" t="s">
        <v>73</v>
      </c>
      <c r="E108" s="19">
        <v>3</v>
      </c>
      <c r="F108" s="20">
        <v>465.05</v>
      </c>
      <c r="G108" s="3" t="s">
        <v>458</v>
      </c>
      <c r="H108" s="3" t="s">
        <v>34</v>
      </c>
      <c r="I108" s="3" t="s">
        <v>35</v>
      </c>
      <c r="J108" s="3" t="s">
        <v>459</v>
      </c>
      <c r="K108" s="19">
        <v>3</v>
      </c>
      <c r="L108" s="3" t="s">
        <v>21</v>
      </c>
      <c r="M108" s="3" t="s">
        <v>38</v>
      </c>
      <c r="N108" s="20">
        <v>1395.15</v>
      </c>
    </row>
    <row r="109" spans="1:14" ht="20.100000000000001" customHeight="1">
      <c r="A109" s="3" t="s">
        <v>460</v>
      </c>
      <c r="B109" s="18">
        <v>45012</v>
      </c>
      <c r="C109" s="3" t="s">
        <v>461</v>
      </c>
      <c r="D109" s="3" t="s">
        <v>48</v>
      </c>
      <c r="E109" s="19">
        <v>5</v>
      </c>
      <c r="F109" s="20">
        <v>670.75</v>
      </c>
      <c r="G109" s="3" t="s">
        <v>462</v>
      </c>
      <c r="H109" s="3" t="s">
        <v>60</v>
      </c>
      <c r="I109" s="3" t="s">
        <v>19</v>
      </c>
      <c r="J109" s="3" t="s">
        <v>463</v>
      </c>
      <c r="K109" s="19">
        <v>8</v>
      </c>
      <c r="L109" s="3" t="s">
        <v>37</v>
      </c>
      <c r="M109" s="3" t="s">
        <v>22</v>
      </c>
      <c r="N109" s="20">
        <v>3353.75</v>
      </c>
    </row>
    <row r="110" spans="1:14" ht="20.100000000000001" customHeight="1">
      <c r="A110" s="3" t="s">
        <v>464</v>
      </c>
      <c r="B110" s="18">
        <v>45654</v>
      </c>
      <c r="C110" s="3" t="s">
        <v>465</v>
      </c>
      <c r="D110" s="3" t="s">
        <v>58</v>
      </c>
      <c r="E110" s="19">
        <v>5</v>
      </c>
      <c r="F110" s="20">
        <v>48.38</v>
      </c>
      <c r="G110" s="3" t="s">
        <v>466</v>
      </c>
      <c r="H110" s="3" t="s">
        <v>60</v>
      </c>
      <c r="I110" s="3" t="s">
        <v>50</v>
      </c>
      <c r="J110" s="3" t="s">
        <v>467</v>
      </c>
      <c r="K110" s="19">
        <v>9</v>
      </c>
      <c r="L110" s="3" t="s">
        <v>81</v>
      </c>
      <c r="M110" s="3" t="s">
        <v>38</v>
      </c>
      <c r="N110" s="20">
        <v>241.9</v>
      </c>
    </row>
    <row r="111" spans="1:14" ht="20.100000000000001" customHeight="1">
      <c r="A111" s="3" t="s">
        <v>468</v>
      </c>
      <c r="B111" s="18">
        <v>45186</v>
      </c>
      <c r="C111" s="3" t="s">
        <v>469</v>
      </c>
      <c r="D111" s="3" t="s">
        <v>73</v>
      </c>
      <c r="E111" s="19">
        <v>3</v>
      </c>
      <c r="F111" s="20">
        <v>592.87</v>
      </c>
      <c r="G111" s="3" t="s">
        <v>470</v>
      </c>
      <c r="H111" s="3" t="s">
        <v>60</v>
      </c>
      <c r="I111" s="3" t="s">
        <v>19</v>
      </c>
      <c r="J111" s="3" t="s">
        <v>471</v>
      </c>
      <c r="K111" s="19">
        <v>3</v>
      </c>
      <c r="L111" s="3" t="s">
        <v>37</v>
      </c>
      <c r="M111" s="3" t="s">
        <v>29</v>
      </c>
      <c r="N111" s="20">
        <v>1778.61</v>
      </c>
    </row>
    <row r="112" spans="1:14" ht="20.100000000000001" customHeight="1">
      <c r="A112" s="3" t="s">
        <v>472</v>
      </c>
      <c r="B112" s="18">
        <v>45403</v>
      </c>
      <c r="C112" s="3" t="s">
        <v>473</v>
      </c>
      <c r="D112" s="3" t="s">
        <v>32</v>
      </c>
      <c r="E112" s="19">
        <v>1</v>
      </c>
      <c r="F112" s="20">
        <v>220.77</v>
      </c>
      <c r="G112" s="3" t="s">
        <v>474</v>
      </c>
      <c r="H112" s="3" t="s">
        <v>60</v>
      </c>
      <c r="I112" s="3" t="s">
        <v>89</v>
      </c>
      <c r="J112" s="3" t="s">
        <v>475</v>
      </c>
      <c r="K112" s="19">
        <v>5</v>
      </c>
      <c r="L112" s="3" t="s">
        <v>37</v>
      </c>
      <c r="M112" s="3" t="s">
        <v>22</v>
      </c>
      <c r="N112" s="20">
        <v>220.77</v>
      </c>
    </row>
    <row r="113" spans="1:14" ht="20.100000000000001" customHeight="1">
      <c r="A113" s="3" t="s">
        <v>476</v>
      </c>
      <c r="B113" s="18">
        <v>45784</v>
      </c>
      <c r="C113" s="3" t="s">
        <v>477</v>
      </c>
      <c r="D113" s="3" t="s">
        <v>73</v>
      </c>
      <c r="E113" s="19">
        <v>3</v>
      </c>
      <c r="F113" s="20">
        <v>309.22000000000003</v>
      </c>
      <c r="G113" s="3" t="s">
        <v>478</v>
      </c>
      <c r="H113" s="3" t="s">
        <v>27</v>
      </c>
      <c r="I113" s="3" t="s">
        <v>35</v>
      </c>
      <c r="J113" s="3" t="s">
        <v>479</v>
      </c>
      <c r="K113" s="19">
        <v>7</v>
      </c>
      <c r="L113" s="3" t="s">
        <v>37</v>
      </c>
      <c r="M113" s="3" t="s">
        <v>76</v>
      </c>
      <c r="N113" s="20">
        <v>927.66000000000008</v>
      </c>
    </row>
    <row r="114" spans="1:14" ht="20.100000000000001" customHeight="1">
      <c r="A114" s="3" t="s">
        <v>480</v>
      </c>
      <c r="B114" s="18">
        <v>44927</v>
      </c>
      <c r="C114" s="3" t="s">
        <v>481</v>
      </c>
      <c r="D114" s="3" t="s">
        <v>16</v>
      </c>
      <c r="E114" s="19">
        <v>1</v>
      </c>
      <c r="F114" s="20">
        <v>410.6</v>
      </c>
      <c r="G114" s="3" t="s">
        <v>482</v>
      </c>
      <c r="H114" s="3" t="s">
        <v>27</v>
      </c>
      <c r="I114" s="3" t="s">
        <v>35</v>
      </c>
      <c r="J114" s="3" t="s">
        <v>483</v>
      </c>
      <c r="K114" s="19">
        <v>2</v>
      </c>
      <c r="L114" s="3" t="s">
        <v>81</v>
      </c>
      <c r="M114" s="3" t="s">
        <v>29</v>
      </c>
      <c r="N114" s="20">
        <v>410.6</v>
      </c>
    </row>
    <row r="115" spans="1:14" ht="20.100000000000001" customHeight="1">
      <c r="A115" s="3" t="s">
        <v>484</v>
      </c>
      <c r="B115" s="18">
        <v>45308</v>
      </c>
      <c r="C115" s="3" t="s">
        <v>485</v>
      </c>
      <c r="D115" s="3" t="s">
        <v>58</v>
      </c>
      <c r="E115" s="19">
        <v>5</v>
      </c>
      <c r="F115" s="20">
        <v>190.08</v>
      </c>
      <c r="G115" s="3" t="s">
        <v>486</v>
      </c>
      <c r="H115" s="3" t="s">
        <v>65</v>
      </c>
      <c r="I115" s="3" t="s">
        <v>19</v>
      </c>
      <c r="J115" s="3" t="s">
        <v>487</v>
      </c>
      <c r="K115" s="19">
        <v>9</v>
      </c>
      <c r="L115" s="3" t="s">
        <v>37</v>
      </c>
      <c r="M115" s="3" t="s">
        <v>22</v>
      </c>
      <c r="N115" s="20">
        <v>950.40000000000009</v>
      </c>
    </row>
    <row r="116" spans="1:14" ht="20.100000000000001" customHeight="1">
      <c r="A116" s="3" t="s">
        <v>488</v>
      </c>
      <c r="B116" s="18">
        <v>45684</v>
      </c>
      <c r="C116" s="3" t="s">
        <v>489</v>
      </c>
      <c r="D116" s="3" t="s">
        <v>16</v>
      </c>
      <c r="E116" s="19">
        <v>5</v>
      </c>
      <c r="F116" s="20">
        <v>498.48</v>
      </c>
      <c r="G116" s="3" t="s">
        <v>490</v>
      </c>
      <c r="H116" s="3" t="s">
        <v>27</v>
      </c>
      <c r="I116" s="3" t="s">
        <v>89</v>
      </c>
      <c r="J116" s="3" t="s">
        <v>491</v>
      </c>
      <c r="K116" s="19">
        <v>8</v>
      </c>
      <c r="L116" s="3" t="s">
        <v>21</v>
      </c>
      <c r="M116" s="3" t="s">
        <v>76</v>
      </c>
      <c r="N116" s="20">
        <v>2492.4</v>
      </c>
    </row>
    <row r="117" spans="1:14" ht="20.100000000000001" customHeight="1">
      <c r="A117" s="3" t="s">
        <v>492</v>
      </c>
      <c r="B117" s="18">
        <v>45257</v>
      </c>
      <c r="C117" s="3" t="s">
        <v>493</v>
      </c>
      <c r="D117" s="3" t="s">
        <v>25</v>
      </c>
      <c r="E117" s="19">
        <v>5</v>
      </c>
      <c r="F117" s="20">
        <v>374.99</v>
      </c>
      <c r="G117" s="3" t="s">
        <v>494</v>
      </c>
      <c r="H117" s="3" t="s">
        <v>27</v>
      </c>
      <c r="I117" s="3" t="s">
        <v>19</v>
      </c>
      <c r="J117" s="3" t="s">
        <v>495</v>
      </c>
      <c r="K117" s="19">
        <v>9</v>
      </c>
      <c r="L117" s="3" t="s">
        <v>21</v>
      </c>
      <c r="M117" s="3" t="s">
        <v>45</v>
      </c>
      <c r="N117" s="20">
        <v>1874.95</v>
      </c>
    </row>
    <row r="118" spans="1:14" ht="20.100000000000001" customHeight="1">
      <c r="A118" s="3" t="s">
        <v>496</v>
      </c>
      <c r="B118" s="18">
        <v>45004</v>
      </c>
      <c r="C118" s="3" t="s">
        <v>497</v>
      </c>
      <c r="D118" s="3" t="s">
        <v>48</v>
      </c>
      <c r="E118" s="19">
        <v>4</v>
      </c>
      <c r="F118" s="20">
        <v>291.35000000000002</v>
      </c>
      <c r="G118" s="3" t="s">
        <v>498</v>
      </c>
      <c r="H118" s="3" t="s">
        <v>34</v>
      </c>
      <c r="I118" s="3" t="s">
        <v>35</v>
      </c>
      <c r="J118" s="3" t="s">
        <v>499</v>
      </c>
      <c r="K118" s="19">
        <v>6</v>
      </c>
      <c r="L118" s="3" t="s">
        <v>81</v>
      </c>
      <c r="M118" s="3" t="s">
        <v>45</v>
      </c>
      <c r="N118" s="20">
        <v>1165.4000000000001</v>
      </c>
    </row>
    <row r="119" spans="1:14" ht="20.100000000000001" customHeight="1">
      <c r="A119" s="3" t="s">
        <v>500</v>
      </c>
      <c r="B119" s="18">
        <v>44993</v>
      </c>
      <c r="C119" s="3" t="s">
        <v>501</v>
      </c>
      <c r="D119" s="3" t="s">
        <v>32</v>
      </c>
      <c r="E119" s="19">
        <v>1</v>
      </c>
      <c r="F119" s="20">
        <v>535.5</v>
      </c>
      <c r="G119" s="3" t="s">
        <v>502</v>
      </c>
      <c r="H119" s="3" t="s">
        <v>60</v>
      </c>
      <c r="I119" s="3" t="s">
        <v>35</v>
      </c>
      <c r="J119" s="3" t="s">
        <v>503</v>
      </c>
      <c r="K119" s="19">
        <v>5</v>
      </c>
      <c r="L119" s="3" t="s">
        <v>81</v>
      </c>
      <c r="M119" s="3" t="s">
        <v>29</v>
      </c>
      <c r="N119" s="20">
        <v>535.5</v>
      </c>
    </row>
    <row r="120" spans="1:14" ht="20.100000000000001" customHeight="1">
      <c r="A120" s="3" t="s">
        <v>504</v>
      </c>
      <c r="B120" s="18">
        <v>45208</v>
      </c>
      <c r="C120" s="3" t="s">
        <v>505</v>
      </c>
      <c r="D120" s="3" t="s">
        <v>48</v>
      </c>
      <c r="E120" s="19">
        <v>5</v>
      </c>
      <c r="F120" s="20">
        <v>502.71</v>
      </c>
      <c r="G120" s="3" t="s">
        <v>506</v>
      </c>
      <c r="H120" s="3" t="s">
        <v>60</v>
      </c>
      <c r="I120" s="3" t="s">
        <v>19</v>
      </c>
      <c r="J120" s="3" t="s">
        <v>507</v>
      </c>
      <c r="K120" s="19">
        <v>7</v>
      </c>
      <c r="L120" s="3" t="s">
        <v>37</v>
      </c>
      <c r="M120" s="3" t="s">
        <v>76</v>
      </c>
      <c r="N120" s="20">
        <v>2513.5500000000002</v>
      </c>
    </row>
    <row r="121" spans="1:14" ht="20.100000000000001" customHeight="1">
      <c r="A121" s="3" t="s">
        <v>508</v>
      </c>
      <c r="B121" s="18">
        <v>45819</v>
      </c>
      <c r="C121" s="3" t="s">
        <v>509</v>
      </c>
      <c r="D121" s="3" t="s">
        <v>73</v>
      </c>
      <c r="E121" s="19">
        <v>2</v>
      </c>
      <c r="F121" s="20">
        <v>534.66999999999996</v>
      </c>
      <c r="G121" s="3" t="s">
        <v>510</v>
      </c>
      <c r="H121" s="3" t="s">
        <v>18</v>
      </c>
      <c r="I121" s="3" t="s">
        <v>19</v>
      </c>
      <c r="J121" s="3" t="s">
        <v>511</v>
      </c>
      <c r="K121" s="19">
        <v>7</v>
      </c>
      <c r="L121" s="3" t="s">
        <v>37</v>
      </c>
      <c r="M121" s="3" t="s">
        <v>29</v>
      </c>
      <c r="N121" s="20">
        <v>1069.3399999999999</v>
      </c>
    </row>
    <row r="122" spans="1:14" ht="20.100000000000001" customHeight="1">
      <c r="A122" s="3" t="s">
        <v>512</v>
      </c>
      <c r="B122" s="18">
        <v>45027</v>
      </c>
      <c r="C122" s="3" t="s">
        <v>513</v>
      </c>
      <c r="D122" s="3" t="s">
        <v>32</v>
      </c>
      <c r="E122" s="19">
        <v>4</v>
      </c>
      <c r="F122" s="20">
        <v>629.34</v>
      </c>
      <c r="G122" s="3" t="s">
        <v>59</v>
      </c>
      <c r="H122" s="3" t="s">
        <v>65</v>
      </c>
      <c r="I122" s="3" t="s">
        <v>35</v>
      </c>
      <c r="J122" s="3" t="s">
        <v>514</v>
      </c>
      <c r="K122" s="19">
        <v>4</v>
      </c>
      <c r="L122" s="3" t="s">
        <v>81</v>
      </c>
      <c r="M122" s="3" t="s">
        <v>22</v>
      </c>
      <c r="N122" s="20">
        <v>2517.36</v>
      </c>
    </row>
    <row r="123" spans="1:14" ht="20.100000000000001" customHeight="1">
      <c r="A123" s="3" t="s">
        <v>515</v>
      </c>
      <c r="B123" s="18">
        <v>45260</v>
      </c>
      <c r="C123" s="3" t="s">
        <v>516</v>
      </c>
      <c r="D123" s="3" t="s">
        <v>73</v>
      </c>
      <c r="E123" s="19">
        <v>1</v>
      </c>
      <c r="F123" s="20">
        <v>410.78</v>
      </c>
      <c r="G123" s="3" t="s">
        <v>517</v>
      </c>
      <c r="H123" s="3" t="s">
        <v>65</v>
      </c>
      <c r="I123" s="3" t="s">
        <v>35</v>
      </c>
      <c r="J123" s="3" t="s">
        <v>518</v>
      </c>
      <c r="K123" s="19">
        <v>1</v>
      </c>
      <c r="L123" s="3" t="s">
        <v>37</v>
      </c>
      <c r="M123" s="3" t="s">
        <v>22</v>
      </c>
      <c r="N123" s="20">
        <v>410.78</v>
      </c>
    </row>
    <row r="124" spans="1:14" ht="20.100000000000001" customHeight="1">
      <c r="A124" s="3" t="s">
        <v>519</v>
      </c>
      <c r="B124" s="18">
        <v>45397</v>
      </c>
      <c r="C124" s="3" t="s">
        <v>520</v>
      </c>
      <c r="D124" s="3" t="s">
        <v>58</v>
      </c>
      <c r="E124" s="19">
        <v>2</v>
      </c>
      <c r="F124" s="20">
        <v>533.02</v>
      </c>
      <c r="G124" s="3" t="s">
        <v>521</v>
      </c>
      <c r="H124" s="3" t="s">
        <v>60</v>
      </c>
      <c r="I124" s="3" t="s">
        <v>19</v>
      </c>
      <c r="J124" s="3" t="s">
        <v>522</v>
      </c>
      <c r="K124" s="19">
        <v>2</v>
      </c>
      <c r="L124" s="3"/>
      <c r="M124" s="3" t="s">
        <v>45</v>
      </c>
      <c r="N124" s="20">
        <v>1066.04</v>
      </c>
    </row>
    <row r="125" spans="1:14" ht="20.100000000000001" customHeight="1">
      <c r="A125" s="3" t="s">
        <v>523</v>
      </c>
      <c r="B125" s="18">
        <v>45113</v>
      </c>
      <c r="C125" s="3" t="s">
        <v>524</v>
      </c>
      <c r="D125" s="3" t="s">
        <v>73</v>
      </c>
      <c r="E125" s="19">
        <v>3</v>
      </c>
      <c r="F125" s="20">
        <v>278.04000000000002</v>
      </c>
      <c r="G125" s="3" t="s">
        <v>525</v>
      </c>
      <c r="H125" s="3" t="s">
        <v>27</v>
      </c>
      <c r="I125" s="3" t="s">
        <v>50</v>
      </c>
      <c r="J125" s="3" t="s">
        <v>526</v>
      </c>
      <c r="K125" s="19">
        <v>5</v>
      </c>
      <c r="L125" s="3"/>
      <c r="M125" s="3" t="s">
        <v>22</v>
      </c>
      <c r="N125" s="20">
        <v>834.12000000000012</v>
      </c>
    </row>
    <row r="126" spans="1:14" ht="20.100000000000001" customHeight="1">
      <c r="A126" s="3" t="s">
        <v>527</v>
      </c>
      <c r="B126" s="18">
        <v>45501</v>
      </c>
      <c r="C126" s="3" t="s">
        <v>528</v>
      </c>
      <c r="D126" s="3" t="s">
        <v>48</v>
      </c>
      <c r="E126" s="19">
        <v>4</v>
      </c>
      <c r="F126" s="20">
        <v>283.79000000000002</v>
      </c>
      <c r="G126" s="3" t="s">
        <v>529</v>
      </c>
      <c r="H126" s="3" t="s">
        <v>27</v>
      </c>
      <c r="I126" s="3" t="s">
        <v>89</v>
      </c>
      <c r="J126" s="3" t="s">
        <v>530</v>
      </c>
      <c r="K126" s="19">
        <v>8</v>
      </c>
      <c r="L126" s="3"/>
      <c r="M126" s="3" t="s">
        <v>76</v>
      </c>
      <c r="N126" s="20">
        <v>1135.1600000000001</v>
      </c>
    </row>
    <row r="127" spans="1:14" ht="20.100000000000001" customHeight="1">
      <c r="A127" s="3" t="s">
        <v>531</v>
      </c>
      <c r="B127" s="18">
        <v>45602</v>
      </c>
      <c r="C127" s="3" t="s">
        <v>532</v>
      </c>
      <c r="D127" s="3" t="s">
        <v>25</v>
      </c>
      <c r="E127" s="19">
        <v>2</v>
      </c>
      <c r="F127" s="20">
        <v>512.65</v>
      </c>
      <c r="G127" s="3" t="s">
        <v>533</v>
      </c>
      <c r="H127" s="3" t="s">
        <v>34</v>
      </c>
      <c r="I127" s="3" t="s">
        <v>19</v>
      </c>
      <c r="J127" s="3" t="s">
        <v>534</v>
      </c>
      <c r="K127" s="19">
        <v>5</v>
      </c>
      <c r="L127" s="3" t="s">
        <v>21</v>
      </c>
      <c r="M127" s="3" t="s">
        <v>38</v>
      </c>
      <c r="N127" s="20">
        <v>1025.3</v>
      </c>
    </row>
    <row r="128" spans="1:14" ht="20.100000000000001" customHeight="1">
      <c r="A128" s="3" t="s">
        <v>535</v>
      </c>
      <c r="B128" s="18">
        <v>45780</v>
      </c>
      <c r="C128" s="3" t="s">
        <v>536</v>
      </c>
      <c r="D128" s="3" t="s">
        <v>73</v>
      </c>
      <c r="E128" s="19">
        <v>4</v>
      </c>
      <c r="F128" s="20">
        <v>275.5</v>
      </c>
      <c r="G128" s="3" t="s">
        <v>537</v>
      </c>
      <c r="H128" s="3" t="s">
        <v>60</v>
      </c>
      <c r="I128" s="3" t="s">
        <v>19</v>
      </c>
      <c r="J128" s="3" t="s">
        <v>538</v>
      </c>
      <c r="K128" s="19">
        <v>8</v>
      </c>
      <c r="L128" s="3" t="s">
        <v>37</v>
      </c>
      <c r="M128" s="3" t="s">
        <v>76</v>
      </c>
      <c r="N128" s="20">
        <v>1102</v>
      </c>
    </row>
    <row r="129" spans="1:14" ht="20.100000000000001" customHeight="1">
      <c r="A129" s="3" t="s">
        <v>539</v>
      </c>
      <c r="B129" s="18">
        <v>45148</v>
      </c>
      <c r="C129" s="3" t="s">
        <v>540</v>
      </c>
      <c r="D129" s="3" t="s">
        <v>73</v>
      </c>
      <c r="E129" s="19">
        <v>3</v>
      </c>
      <c r="F129" s="20">
        <v>469.32</v>
      </c>
      <c r="G129" s="3" t="s">
        <v>541</v>
      </c>
      <c r="H129" s="3" t="s">
        <v>18</v>
      </c>
      <c r="I129" s="3" t="s">
        <v>19</v>
      </c>
      <c r="J129" s="3" t="s">
        <v>542</v>
      </c>
      <c r="K129" s="19">
        <v>3</v>
      </c>
      <c r="L129" s="3"/>
      <c r="M129" s="3" t="s">
        <v>76</v>
      </c>
      <c r="N129" s="20">
        <v>1407.96</v>
      </c>
    </row>
    <row r="130" spans="1:14" ht="20.100000000000001" customHeight="1">
      <c r="A130" s="3" t="s">
        <v>543</v>
      </c>
      <c r="B130" s="18">
        <v>44974</v>
      </c>
      <c r="C130" s="3" t="s">
        <v>544</v>
      </c>
      <c r="D130" s="3" t="s">
        <v>32</v>
      </c>
      <c r="E130" s="19">
        <v>4</v>
      </c>
      <c r="F130" s="20">
        <v>21.07</v>
      </c>
      <c r="G130" s="3" t="s">
        <v>545</v>
      </c>
      <c r="H130" s="3" t="s">
        <v>60</v>
      </c>
      <c r="I130" s="3" t="s">
        <v>50</v>
      </c>
      <c r="J130" s="3" t="s">
        <v>546</v>
      </c>
      <c r="K130" s="19">
        <v>4</v>
      </c>
      <c r="L130" s="3" t="s">
        <v>37</v>
      </c>
      <c r="M130" s="3" t="s">
        <v>76</v>
      </c>
      <c r="N130" s="20">
        <v>84.28</v>
      </c>
    </row>
    <row r="131" spans="1:14" ht="20.100000000000001" customHeight="1">
      <c r="A131" s="3" t="s">
        <v>547</v>
      </c>
      <c r="B131" s="18">
        <v>45226</v>
      </c>
      <c r="C131" s="3" t="s">
        <v>548</v>
      </c>
      <c r="D131" s="3" t="s">
        <v>58</v>
      </c>
      <c r="E131" s="19">
        <v>4</v>
      </c>
      <c r="F131" s="20">
        <v>263.93</v>
      </c>
      <c r="G131" s="3" t="s">
        <v>549</v>
      </c>
      <c r="H131" s="3" t="s">
        <v>18</v>
      </c>
      <c r="I131" s="3" t="s">
        <v>19</v>
      </c>
      <c r="J131" s="3" t="s">
        <v>550</v>
      </c>
      <c r="K131" s="19">
        <v>4</v>
      </c>
      <c r="L131" s="3" t="s">
        <v>37</v>
      </c>
      <c r="M131" s="3" t="s">
        <v>45</v>
      </c>
      <c r="N131" s="20">
        <v>1055.72</v>
      </c>
    </row>
    <row r="132" spans="1:14" ht="20.100000000000001" customHeight="1">
      <c r="A132" s="3" t="s">
        <v>551</v>
      </c>
      <c r="B132" s="18">
        <v>45679</v>
      </c>
      <c r="C132" s="3" t="s">
        <v>552</v>
      </c>
      <c r="D132" s="3" t="s">
        <v>73</v>
      </c>
      <c r="E132" s="19">
        <v>3</v>
      </c>
      <c r="F132" s="20">
        <v>501.3</v>
      </c>
      <c r="G132" s="3" t="s">
        <v>553</v>
      </c>
      <c r="H132" s="3" t="s">
        <v>27</v>
      </c>
      <c r="I132" s="3" t="s">
        <v>35</v>
      </c>
      <c r="J132" s="3" t="s">
        <v>554</v>
      </c>
      <c r="K132" s="19">
        <v>3</v>
      </c>
      <c r="L132" s="3" t="s">
        <v>81</v>
      </c>
      <c r="M132" s="3" t="s">
        <v>45</v>
      </c>
      <c r="N132" s="20">
        <v>1503.9</v>
      </c>
    </row>
    <row r="133" spans="1:14" ht="20.100000000000001" customHeight="1">
      <c r="A133" s="3" t="s">
        <v>555</v>
      </c>
      <c r="B133" s="18">
        <v>44934</v>
      </c>
      <c r="C133" s="3" t="s">
        <v>556</v>
      </c>
      <c r="D133" s="3" t="s">
        <v>32</v>
      </c>
      <c r="E133" s="19">
        <v>1</v>
      </c>
      <c r="F133" s="20">
        <v>84.8</v>
      </c>
      <c r="G133" s="3" t="s">
        <v>557</v>
      </c>
      <c r="H133" s="3" t="s">
        <v>60</v>
      </c>
      <c r="I133" s="3" t="s">
        <v>89</v>
      </c>
      <c r="J133" s="3" t="s">
        <v>558</v>
      </c>
      <c r="K133" s="19">
        <v>5</v>
      </c>
      <c r="L133" s="3"/>
      <c r="M133" s="3" t="s">
        <v>22</v>
      </c>
      <c r="N133" s="20">
        <v>84.8</v>
      </c>
    </row>
    <row r="134" spans="1:14" ht="20.100000000000001" customHeight="1">
      <c r="A134" s="3" t="s">
        <v>559</v>
      </c>
      <c r="B134" s="18">
        <v>45013</v>
      </c>
      <c r="C134" s="3" t="s">
        <v>560</v>
      </c>
      <c r="D134" s="3" t="s">
        <v>32</v>
      </c>
      <c r="E134" s="19">
        <v>4</v>
      </c>
      <c r="F134" s="20">
        <v>450.75</v>
      </c>
      <c r="G134" s="3" t="s">
        <v>561</v>
      </c>
      <c r="H134" s="3" t="s">
        <v>34</v>
      </c>
      <c r="I134" s="3" t="s">
        <v>19</v>
      </c>
      <c r="J134" s="3" t="s">
        <v>562</v>
      </c>
      <c r="K134" s="19">
        <v>6</v>
      </c>
      <c r="L134" s="3" t="s">
        <v>81</v>
      </c>
      <c r="M134" s="3" t="s">
        <v>38</v>
      </c>
      <c r="N134" s="20">
        <v>1803</v>
      </c>
    </row>
    <row r="135" spans="1:14" ht="20.100000000000001" customHeight="1">
      <c r="A135" s="3" t="s">
        <v>563</v>
      </c>
      <c r="B135" s="18">
        <v>45828</v>
      </c>
      <c r="C135" s="3" t="s">
        <v>564</v>
      </c>
      <c r="D135" s="3" t="s">
        <v>41</v>
      </c>
      <c r="E135" s="19">
        <v>4</v>
      </c>
      <c r="F135" s="20">
        <v>302.05</v>
      </c>
      <c r="G135" s="3" t="s">
        <v>565</v>
      </c>
      <c r="H135" s="3" t="s">
        <v>18</v>
      </c>
      <c r="I135" s="3" t="s">
        <v>35</v>
      </c>
      <c r="J135" s="3" t="s">
        <v>566</v>
      </c>
      <c r="K135" s="19">
        <v>6</v>
      </c>
      <c r="L135" s="3" t="s">
        <v>21</v>
      </c>
      <c r="M135" s="3" t="s">
        <v>76</v>
      </c>
      <c r="N135" s="20">
        <v>1208.2</v>
      </c>
    </row>
    <row r="136" spans="1:14" ht="20.100000000000001" customHeight="1">
      <c r="A136" s="3" t="s">
        <v>567</v>
      </c>
      <c r="B136" s="18">
        <v>45831</v>
      </c>
      <c r="C136" s="3" t="s">
        <v>568</v>
      </c>
      <c r="D136" s="3" t="s">
        <v>58</v>
      </c>
      <c r="E136" s="19">
        <v>2</v>
      </c>
      <c r="F136" s="20">
        <v>199.7</v>
      </c>
      <c r="G136" s="3" t="s">
        <v>561</v>
      </c>
      <c r="H136" s="3" t="s">
        <v>65</v>
      </c>
      <c r="I136" s="3" t="s">
        <v>89</v>
      </c>
      <c r="J136" s="3" t="s">
        <v>569</v>
      </c>
      <c r="K136" s="19">
        <v>4</v>
      </c>
      <c r="L136" s="3"/>
      <c r="M136" s="3" t="s">
        <v>38</v>
      </c>
      <c r="N136" s="20">
        <v>399.4</v>
      </c>
    </row>
    <row r="137" spans="1:14" ht="20.100000000000001" customHeight="1">
      <c r="A137" s="3" t="s">
        <v>570</v>
      </c>
      <c r="B137" s="18">
        <v>45142</v>
      </c>
      <c r="C137" s="3" t="s">
        <v>571</v>
      </c>
      <c r="D137" s="3" t="s">
        <v>48</v>
      </c>
      <c r="E137" s="19">
        <v>2</v>
      </c>
      <c r="F137" s="20">
        <v>68.81</v>
      </c>
      <c r="G137" s="3" t="s">
        <v>572</v>
      </c>
      <c r="H137" s="3" t="s">
        <v>60</v>
      </c>
      <c r="I137" s="3" t="s">
        <v>19</v>
      </c>
      <c r="J137" s="3" t="s">
        <v>573</v>
      </c>
      <c r="K137" s="19">
        <v>5</v>
      </c>
      <c r="L137" s="3" t="s">
        <v>21</v>
      </c>
      <c r="M137" s="3" t="s">
        <v>29</v>
      </c>
      <c r="N137" s="20">
        <v>137.62</v>
      </c>
    </row>
    <row r="138" spans="1:14" ht="20.100000000000001" customHeight="1">
      <c r="A138" s="3" t="s">
        <v>574</v>
      </c>
      <c r="B138" s="18">
        <v>45409</v>
      </c>
      <c r="C138" s="3" t="s">
        <v>575</v>
      </c>
      <c r="D138" s="3" t="s">
        <v>58</v>
      </c>
      <c r="E138" s="19">
        <v>1</v>
      </c>
      <c r="F138" s="20">
        <v>44.35</v>
      </c>
      <c r="G138" s="3" t="s">
        <v>576</v>
      </c>
      <c r="H138" s="3" t="s">
        <v>60</v>
      </c>
      <c r="I138" s="3" t="s">
        <v>35</v>
      </c>
      <c r="J138" s="3" t="s">
        <v>577</v>
      </c>
      <c r="K138" s="19">
        <v>1</v>
      </c>
      <c r="L138" s="3" t="s">
        <v>21</v>
      </c>
      <c r="M138" s="3" t="s">
        <v>22</v>
      </c>
      <c r="N138" s="20">
        <v>44.35</v>
      </c>
    </row>
    <row r="139" spans="1:14" ht="20.100000000000001" customHeight="1">
      <c r="A139" s="3" t="s">
        <v>578</v>
      </c>
      <c r="B139" s="18">
        <v>45622</v>
      </c>
      <c r="C139" s="3" t="s">
        <v>579</v>
      </c>
      <c r="D139" s="3" t="s">
        <v>16</v>
      </c>
      <c r="E139" s="19">
        <v>2</v>
      </c>
      <c r="F139" s="20">
        <v>250.98</v>
      </c>
      <c r="G139" s="3" t="s">
        <v>580</v>
      </c>
      <c r="H139" s="3" t="s">
        <v>34</v>
      </c>
      <c r="I139" s="3" t="s">
        <v>50</v>
      </c>
      <c r="J139" s="3" t="s">
        <v>581</v>
      </c>
      <c r="K139" s="19">
        <v>5</v>
      </c>
      <c r="L139" s="3"/>
      <c r="M139" s="3" t="s">
        <v>76</v>
      </c>
      <c r="N139" s="20">
        <v>501.96</v>
      </c>
    </row>
    <row r="140" spans="1:14" ht="20.100000000000001" customHeight="1">
      <c r="A140" s="3" t="s">
        <v>582</v>
      </c>
      <c r="B140" s="18">
        <v>45281</v>
      </c>
      <c r="C140" s="3" t="s">
        <v>583</v>
      </c>
      <c r="D140" s="3" t="s">
        <v>32</v>
      </c>
      <c r="E140" s="19">
        <v>1</v>
      </c>
      <c r="F140" s="20">
        <v>298.06</v>
      </c>
      <c r="G140" s="3" t="s">
        <v>584</v>
      </c>
      <c r="H140" s="3" t="s">
        <v>18</v>
      </c>
      <c r="I140" s="3" t="s">
        <v>89</v>
      </c>
      <c r="J140" s="3" t="s">
        <v>585</v>
      </c>
      <c r="K140" s="19">
        <v>3</v>
      </c>
      <c r="L140" s="3" t="s">
        <v>81</v>
      </c>
      <c r="M140" s="3" t="s">
        <v>76</v>
      </c>
      <c r="N140" s="20">
        <v>298.06</v>
      </c>
    </row>
    <row r="141" spans="1:14" ht="20.100000000000001" customHeight="1">
      <c r="A141" s="3" t="s">
        <v>586</v>
      </c>
      <c r="B141" s="18">
        <v>45026</v>
      </c>
      <c r="C141" s="3" t="s">
        <v>587</v>
      </c>
      <c r="D141" s="3" t="s">
        <v>25</v>
      </c>
      <c r="E141" s="19">
        <v>1</v>
      </c>
      <c r="F141" s="20">
        <v>583.9</v>
      </c>
      <c r="G141" s="3" t="s">
        <v>588</v>
      </c>
      <c r="H141" s="3" t="s">
        <v>65</v>
      </c>
      <c r="I141" s="3" t="s">
        <v>43</v>
      </c>
      <c r="J141" s="3" t="s">
        <v>589</v>
      </c>
      <c r="K141" s="19">
        <v>1</v>
      </c>
      <c r="L141" s="3"/>
      <c r="M141" s="3" t="s">
        <v>38</v>
      </c>
      <c r="N141" s="20">
        <v>583.9</v>
      </c>
    </row>
    <row r="142" spans="1:14" ht="20.100000000000001" customHeight="1">
      <c r="A142" s="3" t="s">
        <v>590</v>
      </c>
      <c r="B142" s="18">
        <v>45808</v>
      </c>
      <c r="C142" s="3" t="s">
        <v>591</v>
      </c>
      <c r="D142" s="3" t="s">
        <v>41</v>
      </c>
      <c r="E142" s="19">
        <v>3</v>
      </c>
      <c r="F142" s="20">
        <v>528.14</v>
      </c>
      <c r="G142" s="3" t="s">
        <v>474</v>
      </c>
      <c r="H142" s="3" t="s">
        <v>27</v>
      </c>
      <c r="I142" s="3" t="s">
        <v>50</v>
      </c>
      <c r="J142" s="3" t="s">
        <v>592</v>
      </c>
      <c r="K142" s="19">
        <v>3</v>
      </c>
      <c r="L142" s="3" t="s">
        <v>37</v>
      </c>
      <c r="M142" s="3" t="s">
        <v>38</v>
      </c>
      <c r="N142" s="20">
        <v>1584.42</v>
      </c>
    </row>
    <row r="143" spans="1:14" ht="20.100000000000001" customHeight="1">
      <c r="A143" s="3" t="s">
        <v>593</v>
      </c>
      <c r="B143" s="18">
        <v>45248</v>
      </c>
      <c r="C143" s="3" t="s">
        <v>594</v>
      </c>
      <c r="D143" s="3" t="s">
        <v>48</v>
      </c>
      <c r="E143" s="19">
        <v>3</v>
      </c>
      <c r="F143" s="20">
        <v>684.14</v>
      </c>
      <c r="G143" s="3" t="s">
        <v>595</v>
      </c>
      <c r="H143" s="3" t="s">
        <v>65</v>
      </c>
      <c r="I143" s="3" t="s">
        <v>35</v>
      </c>
      <c r="J143" s="3" t="s">
        <v>596</v>
      </c>
      <c r="K143" s="19">
        <v>3</v>
      </c>
      <c r="L143" s="3" t="s">
        <v>81</v>
      </c>
      <c r="M143" s="3" t="s">
        <v>22</v>
      </c>
      <c r="N143" s="20">
        <v>2052.42</v>
      </c>
    </row>
    <row r="144" spans="1:14" ht="20.100000000000001" customHeight="1">
      <c r="A144" s="3" t="s">
        <v>597</v>
      </c>
      <c r="B144" s="18">
        <v>45175</v>
      </c>
      <c r="C144" s="3" t="s">
        <v>598</v>
      </c>
      <c r="D144" s="3" t="s">
        <v>73</v>
      </c>
      <c r="E144" s="19">
        <v>5</v>
      </c>
      <c r="F144" s="20">
        <v>272.77</v>
      </c>
      <c r="G144" s="3" t="s">
        <v>599</v>
      </c>
      <c r="H144" s="3" t="s">
        <v>65</v>
      </c>
      <c r="I144" s="3" t="s">
        <v>89</v>
      </c>
      <c r="J144" s="3" t="s">
        <v>600</v>
      </c>
      <c r="K144" s="19">
        <v>7</v>
      </c>
      <c r="L144" s="3" t="s">
        <v>81</v>
      </c>
      <c r="M144" s="3" t="s">
        <v>38</v>
      </c>
      <c r="N144" s="20">
        <v>1363.85</v>
      </c>
    </row>
    <row r="145" spans="1:14" ht="20.100000000000001" customHeight="1">
      <c r="A145" s="3" t="s">
        <v>601</v>
      </c>
      <c r="B145" s="18">
        <v>45456</v>
      </c>
      <c r="C145" s="3" t="s">
        <v>602</v>
      </c>
      <c r="D145" s="3" t="s">
        <v>41</v>
      </c>
      <c r="E145" s="19">
        <v>4</v>
      </c>
      <c r="F145" s="20">
        <v>400.07</v>
      </c>
      <c r="G145" s="3" t="s">
        <v>603</v>
      </c>
      <c r="H145" s="3" t="s">
        <v>27</v>
      </c>
      <c r="I145" s="3" t="s">
        <v>19</v>
      </c>
      <c r="J145" s="3" t="s">
        <v>604</v>
      </c>
      <c r="K145" s="19">
        <v>5</v>
      </c>
      <c r="L145" s="3"/>
      <c r="M145" s="3" t="s">
        <v>29</v>
      </c>
      <c r="N145" s="20">
        <v>1600.28</v>
      </c>
    </row>
    <row r="146" spans="1:14" ht="20.100000000000001" customHeight="1">
      <c r="A146" s="3" t="s">
        <v>605</v>
      </c>
      <c r="B146" s="18">
        <v>45142</v>
      </c>
      <c r="C146" s="3" t="s">
        <v>606</v>
      </c>
      <c r="D146" s="3" t="s">
        <v>73</v>
      </c>
      <c r="E146" s="19">
        <v>5</v>
      </c>
      <c r="F146" s="20">
        <v>219.78</v>
      </c>
      <c r="G146" s="3" t="s">
        <v>161</v>
      </c>
      <c r="H146" s="3" t="s">
        <v>34</v>
      </c>
      <c r="I146" s="3" t="s">
        <v>89</v>
      </c>
      <c r="J146" s="3" t="s">
        <v>607</v>
      </c>
      <c r="K146" s="19">
        <v>8</v>
      </c>
      <c r="L146" s="3"/>
      <c r="M146" s="3" t="s">
        <v>45</v>
      </c>
      <c r="N146" s="20">
        <v>1098.9000000000001</v>
      </c>
    </row>
    <row r="147" spans="1:14" ht="20.100000000000001" customHeight="1">
      <c r="A147" s="3" t="s">
        <v>608</v>
      </c>
      <c r="B147" s="18">
        <v>45353</v>
      </c>
      <c r="C147" s="3" t="s">
        <v>609</v>
      </c>
      <c r="D147" s="3" t="s">
        <v>48</v>
      </c>
      <c r="E147" s="19">
        <v>3</v>
      </c>
      <c r="F147" s="20">
        <v>146.91</v>
      </c>
      <c r="G147" s="3" t="s">
        <v>610</v>
      </c>
      <c r="H147" s="3" t="s">
        <v>34</v>
      </c>
      <c r="I147" s="3" t="s">
        <v>50</v>
      </c>
      <c r="J147" s="3" t="s">
        <v>611</v>
      </c>
      <c r="K147" s="19">
        <v>6</v>
      </c>
      <c r="L147" s="3" t="s">
        <v>37</v>
      </c>
      <c r="M147" s="3" t="s">
        <v>76</v>
      </c>
      <c r="N147" s="20">
        <v>440.73</v>
      </c>
    </row>
    <row r="148" spans="1:14" ht="20.100000000000001" customHeight="1">
      <c r="A148" s="3" t="s">
        <v>612</v>
      </c>
      <c r="B148" s="18">
        <v>45777</v>
      </c>
      <c r="C148" s="3" t="s">
        <v>613</v>
      </c>
      <c r="D148" s="3" t="s">
        <v>32</v>
      </c>
      <c r="E148" s="19">
        <v>2</v>
      </c>
      <c r="F148" s="20">
        <v>411.49</v>
      </c>
      <c r="G148" s="3" t="s">
        <v>614</v>
      </c>
      <c r="H148" s="3" t="s">
        <v>34</v>
      </c>
      <c r="I148" s="3" t="s">
        <v>43</v>
      </c>
      <c r="J148" s="3" t="s">
        <v>615</v>
      </c>
      <c r="K148" s="19">
        <v>4</v>
      </c>
      <c r="L148" s="3"/>
      <c r="M148" s="3" t="s">
        <v>22</v>
      </c>
      <c r="N148" s="20">
        <v>822.98</v>
      </c>
    </row>
    <row r="149" spans="1:14" ht="20.100000000000001" customHeight="1">
      <c r="A149" s="3" t="s">
        <v>616</v>
      </c>
      <c r="B149" s="18">
        <v>45783</v>
      </c>
      <c r="C149" s="3" t="s">
        <v>617</v>
      </c>
      <c r="D149" s="3" t="s">
        <v>58</v>
      </c>
      <c r="E149" s="19">
        <v>2</v>
      </c>
      <c r="F149" s="20">
        <v>465.18</v>
      </c>
      <c r="G149" s="3" t="s">
        <v>618</v>
      </c>
      <c r="H149" s="3" t="s">
        <v>34</v>
      </c>
      <c r="I149" s="3" t="s">
        <v>35</v>
      </c>
      <c r="J149" s="3" t="s">
        <v>619</v>
      </c>
      <c r="K149" s="19">
        <v>2</v>
      </c>
      <c r="L149" s="3" t="s">
        <v>21</v>
      </c>
      <c r="M149" s="3" t="s">
        <v>76</v>
      </c>
      <c r="N149" s="20">
        <v>930.36</v>
      </c>
    </row>
    <row r="150" spans="1:14" ht="20.100000000000001" customHeight="1">
      <c r="A150" s="3" t="s">
        <v>620</v>
      </c>
      <c r="B150" s="18">
        <v>45641</v>
      </c>
      <c r="C150" s="3" t="s">
        <v>621</v>
      </c>
      <c r="D150" s="3" t="s">
        <v>25</v>
      </c>
      <c r="E150" s="19">
        <v>2</v>
      </c>
      <c r="F150" s="20">
        <v>319.91000000000003</v>
      </c>
      <c r="G150" s="3" t="s">
        <v>622</v>
      </c>
      <c r="H150" s="3" t="s">
        <v>34</v>
      </c>
      <c r="I150" s="3" t="s">
        <v>35</v>
      </c>
      <c r="J150" s="3" t="s">
        <v>623</v>
      </c>
      <c r="K150" s="19">
        <v>3</v>
      </c>
      <c r="L150" s="3" t="s">
        <v>81</v>
      </c>
      <c r="M150" s="3" t="s">
        <v>76</v>
      </c>
      <c r="N150" s="20">
        <v>639.82000000000005</v>
      </c>
    </row>
    <row r="151" spans="1:14" ht="20.100000000000001" customHeight="1">
      <c r="A151" s="3" t="s">
        <v>624</v>
      </c>
      <c r="B151" s="18">
        <v>45287</v>
      </c>
      <c r="C151" s="3" t="s">
        <v>625</v>
      </c>
      <c r="D151" s="3" t="s">
        <v>58</v>
      </c>
      <c r="E151" s="19">
        <v>1</v>
      </c>
      <c r="F151" s="20">
        <v>217.56</v>
      </c>
      <c r="G151" s="3" t="s">
        <v>626</v>
      </c>
      <c r="H151" s="3" t="s">
        <v>18</v>
      </c>
      <c r="I151" s="3" t="s">
        <v>50</v>
      </c>
      <c r="J151" s="3" t="s">
        <v>627</v>
      </c>
      <c r="K151" s="19">
        <v>3</v>
      </c>
      <c r="L151" s="3"/>
      <c r="M151" s="3" t="s">
        <v>45</v>
      </c>
      <c r="N151" s="20">
        <v>217.56</v>
      </c>
    </row>
    <row r="152" spans="1:14" ht="20.100000000000001" customHeight="1">
      <c r="A152" s="3" t="s">
        <v>628</v>
      </c>
      <c r="B152" s="18">
        <v>45273</v>
      </c>
      <c r="C152" s="3" t="s">
        <v>629</v>
      </c>
      <c r="D152" s="3" t="s">
        <v>25</v>
      </c>
      <c r="E152" s="19">
        <v>2</v>
      </c>
      <c r="F152" s="20">
        <v>105.57</v>
      </c>
      <c r="G152" s="3" t="s">
        <v>630</v>
      </c>
      <c r="H152" s="3" t="s">
        <v>18</v>
      </c>
      <c r="I152" s="3" t="s">
        <v>43</v>
      </c>
      <c r="J152" s="3" t="s">
        <v>631</v>
      </c>
      <c r="K152" s="19">
        <v>5</v>
      </c>
      <c r="L152" s="3" t="s">
        <v>81</v>
      </c>
      <c r="M152" s="3" t="s">
        <v>76</v>
      </c>
      <c r="N152" s="20">
        <v>211.14</v>
      </c>
    </row>
    <row r="153" spans="1:14" ht="20.100000000000001" customHeight="1">
      <c r="A153" s="3" t="s">
        <v>632</v>
      </c>
      <c r="B153" s="18">
        <v>45261</v>
      </c>
      <c r="C153" s="3" t="s">
        <v>633</v>
      </c>
      <c r="D153" s="3" t="s">
        <v>48</v>
      </c>
      <c r="E153" s="19">
        <v>5</v>
      </c>
      <c r="F153" s="20">
        <v>444.76</v>
      </c>
      <c r="G153" s="3" t="s">
        <v>634</v>
      </c>
      <c r="H153" s="3" t="s">
        <v>18</v>
      </c>
      <c r="I153" s="3" t="s">
        <v>43</v>
      </c>
      <c r="J153" s="3" t="s">
        <v>635</v>
      </c>
      <c r="K153" s="19">
        <v>7</v>
      </c>
      <c r="L153" s="3"/>
      <c r="M153" s="3" t="s">
        <v>38</v>
      </c>
      <c r="N153" s="20">
        <v>2223.8000000000002</v>
      </c>
    </row>
    <row r="154" spans="1:14" ht="20.100000000000001" customHeight="1">
      <c r="A154" s="3" t="s">
        <v>636</v>
      </c>
      <c r="B154" s="18">
        <v>45659</v>
      </c>
      <c r="C154" s="3" t="s">
        <v>637</v>
      </c>
      <c r="D154" s="3" t="s">
        <v>41</v>
      </c>
      <c r="E154" s="19">
        <v>2</v>
      </c>
      <c r="F154" s="20">
        <v>399.04</v>
      </c>
      <c r="G154" s="3" t="s">
        <v>638</v>
      </c>
      <c r="H154" s="3" t="s">
        <v>65</v>
      </c>
      <c r="I154" s="3" t="s">
        <v>35</v>
      </c>
      <c r="J154" s="3" t="s">
        <v>639</v>
      </c>
      <c r="K154" s="19">
        <v>3</v>
      </c>
      <c r="L154" s="3" t="s">
        <v>37</v>
      </c>
      <c r="M154" s="3" t="s">
        <v>29</v>
      </c>
      <c r="N154" s="20">
        <v>798.08</v>
      </c>
    </row>
    <row r="155" spans="1:14" ht="20.100000000000001" customHeight="1">
      <c r="A155" s="3" t="s">
        <v>640</v>
      </c>
      <c r="B155" s="18">
        <v>45644</v>
      </c>
      <c r="C155" s="3" t="s">
        <v>641</v>
      </c>
      <c r="D155" s="3" t="s">
        <v>41</v>
      </c>
      <c r="E155" s="19">
        <v>4</v>
      </c>
      <c r="F155" s="20">
        <v>534.48</v>
      </c>
      <c r="G155" s="3" t="s">
        <v>642</v>
      </c>
      <c r="H155" s="3" t="s">
        <v>27</v>
      </c>
      <c r="I155" s="3" t="s">
        <v>43</v>
      </c>
      <c r="J155" s="3" t="s">
        <v>643</v>
      </c>
      <c r="K155" s="19">
        <v>9</v>
      </c>
      <c r="L155" s="3" t="s">
        <v>81</v>
      </c>
      <c r="M155" s="3" t="s">
        <v>22</v>
      </c>
      <c r="N155" s="20">
        <v>2137.92</v>
      </c>
    </row>
    <row r="156" spans="1:14" ht="20.100000000000001" customHeight="1">
      <c r="A156" s="3" t="s">
        <v>644</v>
      </c>
      <c r="B156" s="18">
        <v>45127</v>
      </c>
      <c r="C156" s="3" t="s">
        <v>645</v>
      </c>
      <c r="D156" s="3" t="s">
        <v>25</v>
      </c>
      <c r="E156" s="19">
        <v>4</v>
      </c>
      <c r="F156" s="20">
        <v>408.21</v>
      </c>
      <c r="G156" s="3" t="s">
        <v>525</v>
      </c>
      <c r="H156" s="3" t="s">
        <v>34</v>
      </c>
      <c r="I156" s="3" t="s">
        <v>89</v>
      </c>
      <c r="J156" s="3" t="s">
        <v>646</v>
      </c>
      <c r="K156" s="19">
        <v>9</v>
      </c>
      <c r="L156" s="3"/>
      <c r="M156" s="3" t="s">
        <v>22</v>
      </c>
      <c r="N156" s="20">
        <v>1632.84</v>
      </c>
    </row>
    <row r="157" spans="1:14" ht="20.100000000000001" customHeight="1">
      <c r="A157" s="3" t="s">
        <v>647</v>
      </c>
      <c r="B157" s="18">
        <v>44984</v>
      </c>
      <c r="C157" s="3" t="s">
        <v>648</v>
      </c>
      <c r="D157" s="3" t="s">
        <v>25</v>
      </c>
      <c r="E157" s="19">
        <v>1</v>
      </c>
      <c r="F157" s="20">
        <v>424.4</v>
      </c>
      <c r="G157" s="3" t="s">
        <v>238</v>
      </c>
      <c r="H157" s="3" t="s">
        <v>27</v>
      </c>
      <c r="I157" s="3" t="s">
        <v>19</v>
      </c>
      <c r="J157" s="3" t="s">
        <v>649</v>
      </c>
      <c r="K157" s="19">
        <v>6</v>
      </c>
      <c r="L157" s="3" t="s">
        <v>81</v>
      </c>
      <c r="M157" s="3" t="s">
        <v>29</v>
      </c>
      <c r="N157" s="20">
        <v>424.4</v>
      </c>
    </row>
    <row r="158" spans="1:14" ht="20.100000000000001" customHeight="1">
      <c r="A158" s="3" t="s">
        <v>650</v>
      </c>
      <c r="B158" s="18">
        <v>45604</v>
      </c>
      <c r="C158" s="3" t="s">
        <v>651</v>
      </c>
      <c r="D158" s="3" t="s">
        <v>41</v>
      </c>
      <c r="E158" s="19">
        <v>2</v>
      </c>
      <c r="F158" s="20">
        <v>269.83</v>
      </c>
      <c r="G158" s="3" t="s">
        <v>652</v>
      </c>
      <c r="H158" s="3" t="s">
        <v>27</v>
      </c>
      <c r="I158" s="3" t="s">
        <v>50</v>
      </c>
      <c r="J158" s="3" t="s">
        <v>653</v>
      </c>
      <c r="K158" s="19">
        <v>4</v>
      </c>
      <c r="L158" s="3" t="s">
        <v>21</v>
      </c>
      <c r="M158" s="3" t="s">
        <v>38</v>
      </c>
      <c r="N158" s="20">
        <v>539.66</v>
      </c>
    </row>
    <row r="159" spans="1:14" ht="20.100000000000001" customHeight="1">
      <c r="A159" s="3" t="s">
        <v>654</v>
      </c>
      <c r="B159" s="18">
        <v>45709</v>
      </c>
      <c r="C159" s="3" t="s">
        <v>655</v>
      </c>
      <c r="D159" s="3" t="s">
        <v>16</v>
      </c>
      <c r="E159" s="19">
        <v>2</v>
      </c>
      <c r="F159" s="20">
        <v>564.58000000000004</v>
      </c>
      <c r="G159" s="3" t="s">
        <v>565</v>
      </c>
      <c r="H159" s="3" t="s">
        <v>27</v>
      </c>
      <c r="I159" s="3" t="s">
        <v>43</v>
      </c>
      <c r="J159" s="3" t="s">
        <v>656</v>
      </c>
      <c r="K159" s="19">
        <v>4</v>
      </c>
      <c r="L159" s="3" t="s">
        <v>81</v>
      </c>
      <c r="M159" s="3" t="s">
        <v>45</v>
      </c>
      <c r="N159" s="20">
        <v>1129.1600000000001</v>
      </c>
    </row>
    <row r="160" spans="1:14" ht="20.100000000000001" customHeight="1">
      <c r="A160" s="3" t="s">
        <v>657</v>
      </c>
      <c r="B160" s="18">
        <v>45428</v>
      </c>
      <c r="C160" s="3" t="s">
        <v>658</v>
      </c>
      <c r="D160" s="3" t="s">
        <v>32</v>
      </c>
      <c r="E160" s="19">
        <v>1</v>
      </c>
      <c r="F160" s="20">
        <v>331.06</v>
      </c>
      <c r="G160" s="3" t="s">
        <v>659</v>
      </c>
      <c r="H160" s="3" t="s">
        <v>34</v>
      </c>
      <c r="I160" s="3" t="s">
        <v>89</v>
      </c>
      <c r="J160" s="3" t="s">
        <v>660</v>
      </c>
      <c r="K160" s="19">
        <v>5</v>
      </c>
      <c r="L160" s="3" t="s">
        <v>81</v>
      </c>
      <c r="M160" s="3" t="s">
        <v>22</v>
      </c>
      <c r="N160" s="20">
        <v>331.06</v>
      </c>
    </row>
    <row r="161" spans="1:14" ht="20.100000000000001" customHeight="1">
      <c r="A161" s="3" t="s">
        <v>661</v>
      </c>
      <c r="B161" s="18">
        <v>45230</v>
      </c>
      <c r="C161" s="3" t="s">
        <v>662</v>
      </c>
      <c r="D161" s="3" t="s">
        <v>48</v>
      </c>
      <c r="E161" s="19">
        <v>1</v>
      </c>
      <c r="F161" s="20">
        <v>299.35000000000002</v>
      </c>
      <c r="G161" s="3" t="s">
        <v>663</v>
      </c>
      <c r="H161" s="3" t="s">
        <v>34</v>
      </c>
      <c r="I161" s="3" t="s">
        <v>35</v>
      </c>
      <c r="J161" s="3" t="s">
        <v>664</v>
      </c>
      <c r="K161" s="19">
        <v>5</v>
      </c>
      <c r="L161" s="3" t="s">
        <v>81</v>
      </c>
      <c r="M161" s="3" t="s">
        <v>38</v>
      </c>
      <c r="N161" s="20">
        <v>299.35000000000002</v>
      </c>
    </row>
    <row r="162" spans="1:14" ht="20.100000000000001" customHeight="1">
      <c r="A162" s="3" t="s">
        <v>665</v>
      </c>
      <c r="B162" s="18">
        <v>44974</v>
      </c>
      <c r="C162" s="3" t="s">
        <v>666</v>
      </c>
      <c r="D162" s="3" t="s">
        <v>16</v>
      </c>
      <c r="E162" s="19">
        <v>4</v>
      </c>
      <c r="F162" s="20">
        <v>101.32</v>
      </c>
      <c r="G162" s="3" t="s">
        <v>667</v>
      </c>
      <c r="H162" s="3" t="s">
        <v>65</v>
      </c>
      <c r="I162" s="3" t="s">
        <v>89</v>
      </c>
      <c r="J162" s="3" t="s">
        <v>668</v>
      </c>
      <c r="K162" s="19">
        <v>7</v>
      </c>
      <c r="L162" s="3"/>
      <c r="M162" s="3" t="s">
        <v>29</v>
      </c>
      <c r="N162" s="20">
        <v>405.28</v>
      </c>
    </row>
    <row r="163" spans="1:14" ht="20.100000000000001" customHeight="1">
      <c r="A163" s="3" t="s">
        <v>669</v>
      </c>
      <c r="B163" s="18">
        <v>45380</v>
      </c>
      <c r="C163" s="3" t="s">
        <v>670</v>
      </c>
      <c r="D163" s="3" t="s">
        <v>16</v>
      </c>
      <c r="E163" s="19">
        <v>1</v>
      </c>
      <c r="F163" s="20">
        <v>211.14</v>
      </c>
      <c r="G163" s="3" t="s">
        <v>553</v>
      </c>
      <c r="H163" s="3" t="s">
        <v>34</v>
      </c>
      <c r="I163" s="3" t="s">
        <v>35</v>
      </c>
      <c r="J163" s="3" t="s">
        <v>671</v>
      </c>
      <c r="K163" s="19">
        <v>1</v>
      </c>
      <c r="L163" s="3" t="s">
        <v>21</v>
      </c>
      <c r="M163" s="3" t="s">
        <v>45</v>
      </c>
      <c r="N163" s="20">
        <v>211.14</v>
      </c>
    </row>
    <row r="164" spans="1:14" ht="20.100000000000001" customHeight="1">
      <c r="A164" s="3" t="s">
        <v>672</v>
      </c>
      <c r="B164" s="18">
        <v>45134</v>
      </c>
      <c r="C164" s="3" t="s">
        <v>673</v>
      </c>
      <c r="D164" s="3" t="s">
        <v>41</v>
      </c>
      <c r="E164" s="19">
        <v>3</v>
      </c>
      <c r="F164" s="20">
        <v>65.86</v>
      </c>
      <c r="G164" s="3" t="s">
        <v>335</v>
      </c>
      <c r="H164" s="3" t="s">
        <v>27</v>
      </c>
      <c r="I164" s="3" t="s">
        <v>89</v>
      </c>
      <c r="J164" s="3" t="s">
        <v>674</v>
      </c>
      <c r="K164" s="19">
        <v>8</v>
      </c>
      <c r="L164" s="3" t="s">
        <v>81</v>
      </c>
      <c r="M164" s="3" t="s">
        <v>76</v>
      </c>
      <c r="N164" s="20">
        <v>197.58</v>
      </c>
    </row>
    <row r="165" spans="1:14" ht="20.100000000000001" customHeight="1">
      <c r="A165" s="3" t="s">
        <v>675</v>
      </c>
      <c r="B165" s="18">
        <v>45832</v>
      </c>
      <c r="C165" s="3" t="s">
        <v>676</v>
      </c>
      <c r="D165" s="3" t="s">
        <v>32</v>
      </c>
      <c r="E165" s="19">
        <v>1</v>
      </c>
      <c r="F165" s="20">
        <v>641.39</v>
      </c>
      <c r="G165" s="3" t="s">
        <v>677</v>
      </c>
      <c r="H165" s="3" t="s">
        <v>27</v>
      </c>
      <c r="I165" s="3" t="s">
        <v>35</v>
      </c>
      <c r="J165" s="3" t="s">
        <v>678</v>
      </c>
      <c r="K165" s="19">
        <v>1</v>
      </c>
      <c r="L165" s="3"/>
      <c r="M165" s="3" t="s">
        <v>29</v>
      </c>
      <c r="N165" s="20">
        <v>641.39</v>
      </c>
    </row>
    <row r="166" spans="1:14" ht="20.100000000000001" customHeight="1">
      <c r="A166" s="3" t="s">
        <v>679</v>
      </c>
      <c r="B166" s="18">
        <v>45288</v>
      </c>
      <c r="C166" s="3" t="s">
        <v>680</v>
      </c>
      <c r="D166" s="3" t="s">
        <v>73</v>
      </c>
      <c r="E166" s="19">
        <v>5</v>
      </c>
      <c r="F166" s="20">
        <v>536.58000000000004</v>
      </c>
      <c r="G166" s="3" t="s">
        <v>681</v>
      </c>
      <c r="H166" s="3" t="s">
        <v>60</v>
      </c>
      <c r="I166" s="3" t="s">
        <v>89</v>
      </c>
      <c r="J166" s="3" t="s">
        <v>682</v>
      </c>
      <c r="K166" s="19">
        <v>5</v>
      </c>
      <c r="L166" s="3" t="s">
        <v>21</v>
      </c>
      <c r="M166" s="3" t="s">
        <v>76</v>
      </c>
      <c r="N166" s="20">
        <v>2682.9</v>
      </c>
    </row>
    <row r="167" spans="1:14" ht="20.100000000000001" customHeight="1">
      <c r="A167" s="3" t="s">
        <v>683</v>
      </c>
      <c r="B167" s="18">
        <v>45549</v>
      </c>
      <c r="C167" s="3" t="s">
        <v>684</v>
      </c>
      <c r="D167" s="3" t="s">
        <v>16</v>
      </c>
      <c r="E167" s="19">
        <v>2</v>
      </c>
      <c r="F167" s="20">
        <v>500.29</v>
      </c>
      <c r="G167" s="3" t="s">
        <v>685</v>
      </c>
      <c r="H167" s="3" t="s">
        <v>27</v>
      </c>
      <c r="I167" s="3" t="s">
        <v>43</v>
      </c>
      <c r="J167" s="3" t="s">
        <v>686</v>
      </c>
      <c r="K167" s="19">
        <v>7</v>
      </c>
      <c r="L167" s="3" t="s">
        <v>81</v>
      </c>
      <c r="M167" s="3" t="s">
        <v>76</v>
      </c>
      <c r="N167" s="20">
        <v>1000.58</v>
      </c>
    </row>
    <row r="168" spans="1:14" ht="20.100000000000001" customHeight="1">
      <c r="A168" s="3" t="s">
        <v>687</v>
      </c>
      <c r="B168" s="18">
        <v>45720</v>
      </c>
      <c r="C168" s="3" t="s">
        <v>688</v>
      </c>
      <c r="D168" s="3" t="s">
        <v>41</v>
      </c>
      <c r="E168" s="19">
        <v>3</v>
      </c>
      <c r="F168" s="20">
        <v>86.29</v>
      </c>
      <c r="G168" s="3" t="s">
        <v>257</v>
      </c>
      <c r="H168" s="3" t="s">
        <v>65</v>
      </c>
      <c r="I168" s="3" t="s">
        <v>50</v>
      </c>
      <c r="J168" s="3" t="s">
        <v>689</v>
      </c>
      <c r="K168" s="19">
        <v>6</v>
      </c>
      <c r="L168" s="3" t="s">
        <v>81</v>
      </c>
      <c r="M168" s="3" t="s">
        <v>22</v>
      </c>
      <c r="N168" s="20">
        <v>258.87</v>
      </c>
    </row>
    <row r="169" spans="1:14" ht="20.100000000000001" customHeight="1">
      <c r="A169" s="3" t="s">
        <v>690</v>
      </c>
      <c r="B169" s="18">
        <v>45073</v>
      </c>
      <c r="C169" s="3" t="s">
        <v>691</v>
      </c>
      <c r="D169" s="3" t="s">
        <v>41</v>
      </c>
      <c r="E169" s="19">
        <v>2</v>
      </c>
      <c r="F169" s="20">
        <v>384.14</v>
      </c>
      <c r="G169" s="3" t="s">
        <v>692</v>
      </c>
      <c r="H169" s="3" t="s">
        <v>27</v>
      </c>
      <c r="I169" s="3" t="s">
        <v>43</v>
      </c>
      <c r="J169" s="3" t="s">
        <v>693</v>
      </c>
      <c r="K169" s="19">
        <v>2</v>
      </c>
      <c r="L169" s="3" t="s">
        <v>81</v>
      </c>
      <c r="M169" s="3" t="s">
        <v>38</v>
      </c>
      <c r="N169" s="20">
        <v>768.28</v>
      </c>
    </row>
    <row r="170" spans="1:14" ht="20.100000000000001" customHeight="1">
      <c r="A170" s="3" t="s">
        <v>694</v>
      </c>
      <c r="B170" s="18">
        <v>45661</v>
      </c>
      <c r="C170" s="3" t="s">
        <v>695</v>
      </c>
      <c r="D170" s="3" t="s">
        <v>48</v>
      </c>
      <c r="E170" s="19">
        <v>1</v>
      </c>
      <c r="F170" s="20">
        <v>594.96</v>
      </c>
      <c r="G170" s="3" t="s">
        <v>696</v>
      </c>
      <c r="H170" s="3" t="s">
        <v>65</v>
      </c>
      <c r="I170" s="3" t="s">
        <v>43</v>
      </c>
      <c r="J170" s="3" t="s">
        <v>697</v>
      </c>
      <c r="K170" s="19">
        <v>6</v>
      </c>
      <c r="L170" s="3"/>
      <c r="M170" s="3" t="s">
        <v>45</v>
      </c>
      <c r="N170" s="20">
        <v>594.96</v>
      </c>
    </row>
    <row r="171" spans="1:14" ht="20.100000000000001" customHeight="1">
      <c r="A171" s="3" t="s">
        <v>698</v>
      </c>
      <c r="B171" s="18">
        <v>45389</v>
      </c>
      <c r="C171" s="3" t="s">
        <v>699</v>
      </c>
      <c r="D171" s="3" t="s">
        <v>48</v>
      </c>
      <c r="E171" s="19">
        <v>1</v>
      </c>
      <c r="F171" s="20">
        <v>427.82</v>
      </c>
      <c r="G171" s="3" t="s">
        <v>700</v>
      </c>
      <c r="H171" s="3" t="s">
        <v>27</v>
      </c>
      <c r="I171" s="3" t="s">
        <v>50</v>
      </c>
      <c r="J171" s="3" t="s">
        <v>701</v>
      </c>
      <c r="K171" s="19">
        <v>2</v>
      </c>
      <c r="L171" s="3" t="s">
        <v>81</v>
      </c>
      <c r="M171" s="3" t="s">
        <v>38</v>
      </c>
      <c r="N171" s="20">
        <v>427.82</v>
      </c>
    </row>
    <row r="172" spans="1:14" ht="20.100000000000001" customHeight="1">
      <c r="A172" s="3" t="s">
        <v>702</v>
      </c>
      <c r="B172" s="18">
        <v>45751</v>
      </c>
      <c r="C172" s="3" t="s">
        <v>703</v>
      </c>
      <c r="D172" s="3" t="s">
        <v>73</v>
      </c>
      <c r="E172" s="19">
        <v>4</v>
      </c>
      <c r="F172" s="20">
        <v>662.94</v>
      </c>
      <c r="G172" s="3" t="s">
        <v>704</v>
      </c>
      <c r="H172" s="3" t="s">
        <v>65</v>
      </c>
      <c r="I172" s="3" t="s">
        <v>35</v>
      </c>
      <c r="J172" s="3" t="s">
        <v>705</v>
      </c>
      <c r="K172" s="19">
        <v>8</v>
      </c>
      <c r="L172" s="3" t="s">
        <v>21</v>
      </c>
      <c r="M172" s="3" t="s">
        <v>22</v>
      </c>
      <c r="N172" s="20">
        <v>2651.76</v>
      </c>
    </row>
    <row r="173" spans="1:14" ht="20.100000000000001" customHeight="1">
      <c r="A173" s="3" t="s">
        <v>706</v>
      </c>
      <c r="B173" s="18">
        <v>45153</v>
      </c>
      <c r="C173" s="3" t="s">
        <v>707</v>
      </c>
      <c r="D173" s="3" t="s">
        <v>32</v>
      </c>
      <c r="E173" s="19">
        <v>2</v>
      </c>
      <c r="F173" s="20">
        <v>148.22</v>
      </c>
      <c r="G173" s="3" t="s">
        <v>708</v>
      </c>
      <c r="H173" s="3" t="s">
        <v>34</v>
      </c>
      <c r="I173" s="3" t="s">
        <v>50</v>
      </c>
      <c r="J173" s="3" t="s">
        <v>709</v>
      </c>
      <c r="K173" s="19">
        <v>7</v>
      </c>
      <c r="L173" s="3" t="s">
        <v>81</v>
      </c>
      <c r="M173" s="3" t="s">
        <v>22</v>
      </c>
      <c r="N173" s="20">
        <v>296.44</v>
      </c>
    </row>
    <row r="174" spans="1:14" ht="20.100000000000001" customHeight="1">
      <c r="A174" s="3" t="s">
        <v>710</v>
      </c>
      <c r="B174" s="18">
        <v>45753</v>
      </c>
      <c r="C174" s="3" t="s">
        <v>711</v>
      </c>
      <c r="D174" s="3" t="s">
        <v>48</v>
      </c>
      <c r="E174" s="19">
        <v>1</v>
      </c>
      <c r="F174" s="20">
        <v>254.12</v>
      </c>
      <c r="G174" s="3" t="s">
        <v>541</v>
      </c>
      <c r="H174" s="3" t="s">
        <v>27</v>
      </c>
      <c r="I174" s="3" t="s">
        <v>50</v>
      </c>
      <c r="J174" s="3" t="s">
        <v>712</v>
      </c>
      <c r="K174" s="19">
        <v>1</v>
      </c>
      <c r="L174" s="3" t="s">
        <v>81</v>
      </c>
      <c r="M174" s="3" t="s">
        <v>38</v>
      </c>
      <c r="N174" s="20">
        <v>254.12</v>
      </c>
    </row>
    <row r="175" spans="1:14" ht="20.100000000000001" customHeight="1">
      <c r="A175" s="3" t="s">
        <v>713</v>
      </c>
      <c r="B175" s="18">
        <v>45375</v>
      </c>
      <c r="C175" s="3" t="s">
        <v>714</v>
      </c>
      <c r="D175" s="3" t="s">
        <v>25</v>
      </c>
      <c r="E175" s="19">
        <v>3</v>
      </c>
      <c r="F175" s="20">
        <v>664.46</v>
      </c>
      <c r="G175" s="3" t="s">
        <v>715</v>
      </c>
      <c r="H175" s="3" t="s">
        <v>27</v>
      </c>
      <c r="I175" s="3" t="s">
        <v>50</v>
      </c>
      <c r="J175" s="3" t="s">
        <v>716</v>
      </c>
      <c r="K175" s="19">
        <v>4</v>
      </c>
      <c r="L175" s="3" t="s">
        <v>37</v>
      </c>
      <c r="M175" s="3" t="s">
        <v>76</v>
      </c>
      <c r="N175" s="20">
        <v>1993.38</v>
      </c>
    </row>
    <row r="176" spans="1:14" ht="20.100000000000001" customHeight="1">
      <c r="A176" s="3" t="s">
        <v>717</v>
      </c>
      <c r="B176" s="18">
        <v>45398</v>
      </c>
      <c r="C176" s="3" t="s">
        <v>718</v>
      </c>
      <c r="D176" s="3" t="s">
        <v>48</v>
      </c>
      <c r="E176" s="19">
        <v>4</v>
      </c>
      <c r="F176" s="20">
        <v>600.80999999999995</v>
      </c>
      <c r="G176" s="3" t="s">
        <v>719</v>
      </c>
      <c r="H176" s="3" t="s">
        <v>18</v>
      </c>
      <c r="I176" s="3" t="s">
        <v>50</v>
      </c>
      <c r="J176" s="3" t="s">
        <v>720</v>
      </c>
      <c r="K176" s="19">
        <v>9</v>
      </c>
      <c r="L176" s="3" t="s">
        <v>21</v>
      </c>
      <c r="M176" s="3" t="s">
        <v>38</v>
      </c>
      <c r="N176" s="20">
        <v>2403.2399999999998</v>
      </c>
    </row>
    <row r="177" spans="1:14" ht="20.100000000000001" customHeight="1">
      <c r="A177" s="3" t="s">
        <v>721</v>
      </c>
      <c r="B177" s="18">
        <v>45696</v>
      </c>
      <c r="C177" s="3" t="s">
        <v>722</v>
      </c>
      <c r="D177" s="3" t="s">
        <v>41</v>
      </c>
      <c r="E177" s="19">
        <v>5</v>
      </c>
      <c r="F177" s="20">
        <v>68.34</v>
      </c>
      <c r="G177" s="3" t="s">
        <v>723</v>
      </c>
      <c r="H177" s="3" t="s">
        <v>18</v>
      </c>
      <c r="I177" s="3" t="s">
        <v>89</v>
      </c>
      <c r="J177" s="3" t="s">
        <v>724</v>
      </c>
      <c r="K177" s="19">
        <v>6</v>
      </c>
      <c r="L177" s="3" t="s">
        <v>81</v>
      </c>
      <c r="M177" s="3" t="s">
        <v>29</v>
      </c>
      <c r="N177" s="20">
        <v>341.7</v>
      </c>
    </row>
    <row r="178" spans="1:14" ht="20.100000000000001" customHeight="1">
      <c r="A178" s="3" t="s">
        <v>725</v>
      </c>
      <c r="B178" s="18">
        <v>45836</v>
      </c>
      <c r="C178" s="3" t="s">
        <v>726</v>
      </c>
      <c r="D178" s="3" t="s">
        <v>32</v>
      </c>
      <c r="E178" s="19">
        <v>4</v>
      </c>
      <c r="F178" s="20">
        <v>430.83</v>
      </c>
      <c r="G178" s="3" t="s">
        <v>727</v>
      </c>
      <c r="H178" s="3" t="s">
        <v>60</v>
      </c>
      <c r="I178" s="3" t="s">
        <v>89</v>
      </c>
      <c r="J178" s="3" t="s">
        <v>728</v>
      </c>
      <c r="K178" s="19">
        <v>8</v>
      </c>
      <c r="L178" s="3" t="s">
        <v>81</v>
      </c>
      <c r="M178" s="3" t="s">
        <v>29</v>
      </c>
      <c r="N178" s="20">
        <v>1723.32</v>
      </c>
    </row>
    <row r="179" spans="1:14" ht="20.100000000000001" customHeight="1">
      <c r="A179" s="3" t="s">
        <v>729</v>
      </c>
      <c r="B179" s="18">
        <v>45143</v>
      </c>
      <c r="C179" s="3" t="s">
        <v>730</v>
      </c>
      <c r="D179" s="3" t="s">
        <v>41</v>
      </c>
      <c r="E179" s="19">
        <v>5</v>
      </c>
      <c r="F179" s="20">
        <v>431.69</v>
      </c>
      <c r="G179" s="3" t="s">
        <v>731</v>
      </c>
      <c r="H179" s="3" t="s">
        <v>34</v>
      </c>
      <c r="I179" s="3" t="s">
        <v>89</v>
      </c>
      <c r="J179" s="3" t="s">
        <v>732</v>
      </c>
      <c r="K179" s="19">
        <v>10</v>
      </c>
      <c r="L179" s="3"/>
      <c r="M179" s="3" t="s">
        <v>45</v>
      </c>
      <c r="N179" s="20">
        <v>2158.4499999999998</v>
      </c>
    </row>
    <row r="180" spans="1:14" ht="20.100000000000001" customHeight="1">
      <c r="A180" s="3" t="s">
        <v>733</v>
      </c>
      <c r="B180" s="18">
        <v>45393</v>
      </c>
      <c r="C180" s="3" t="s">
        <v>734</v>
      </c>
      <c r="D180" s="3" t="s">
        <v>41</v>
      </c>
      <c r="E180" s="19">
        <v>4</v>
      </c>
      <c r="F180" s="20">
        <v>512.05999999999995</v>
      </c>
      <c r="G180" s="3" t="s">
        <v>735</v>
      </c>
      <c r="H180" s="3" t="s">
        <v>27</v>
      </c>
      <c r="I180" s="3" t="s">
        <v>50</v>
      </c>
      <c r="J180" s="3" t="s">
        <v>736</v>
      </c>
      <c r="K180" s="19">
        <v>5</v>
      </c>
      <c r="L180" s="3" t="s">
        <v>21</v>
      </c>
      <c r="M180" s="3" t="s">
        <v>76</v>
      </c>
      <c r="N180" s="20">
        <v>2048.2399999999998</v>
      </c>
    </row>
    <row r="181" spans="1:14" ht="20.100000000000001" customHeight="1">
      <c r="A181" s="3" t="s">
        <v>737</v>
      </c>
      <c r="B181" s="18">
        <v>45620</v>
      </c>
      <c r="C181" s="3" t="s">
        <v>738</v>
      </c>
      <c r="D181" s="3" t="s">
        <v>58</v>
      </c>
      <c r="E181" s="19">
        <v>3</v>
      </c>
      <c r="F181" s="20">
        <v>539.91</v>
      </c>
      <c r="G181" s="3" t="s">
        <v>739</v>
      </c>
      <c r="H181" s="3" t="s">
        <v>34</v>
      </c>
      <c r="I181" s="3" t="s">
        <v>50</v>
      </c>
      <c r="J181" s="3" t="s">
        <v>740</v>
      </c>
      <c r="K181" s="19">
        <v>8</v>
      </c>
      <c r="L181" s="3"/>
      <c r="M181" s="3" t="s">
        <v>38</v>
      </c>
      <c r="N181" s="20">
        <v>1619.73</v>
      </c>
    </row>
    <row r="182" spans="1:14" ht="20.100000000000001" customHeight="1">
      <c r="A182" s="3" t="s">
        <v>741</v>
      </c>
      <c r="B182" s="18">
        <v>45003</v>
      </c>
      <c r="C182" s="3" t="s">
        <v>742</v>
      </c>
      <c r="D182" s="3" t="s">
        <v>32</v>
      </c>
      <c r="E182" s="19">
        <v>5</v>
      </c>
      <c r="F182" s="20">
        <v>316.07</v>
      </c>
      <c r="G182" s="3" t="s">
        <v>743</v>
      </c>
      <c r="H182" s="3" t="s">
        <v>65</v>
      </c>
      <c r="I182" s="3" t="s">
        <v>43</v>
      </c>
      <c r="J182" s="3" t="s">
        <v>744</v>
      </c>
      <c r="K182" s="19">
        <v>10</v>
      </c>
      <c r="L182" s="3"/>
      <c r="M182" s="3" t="s">
        <v>76</v>
      </c>
      <c r="N182" s="20">
        <v>1580.35</v>
      </c>
    </row>
    <row r="183" spans="1:14" ht="20.100000000000001" customHeight="1">
      <c r="A183" s="3" t="s">
        <v>745</v>
      </c>
      <c r="B183" s="18">
        <v>45535</v>
      </c>
      <c r="C183" s="3" t="s">
        <v>746</v>
      </c>
      <c r="D183" s="3" t="s">
        <v>48</v>
      </c>
      <c r="E183" s="19">
        <v>5</v>
      </c>
      <c r="F183" s="20">
        <v>404.39</v>
      </c>
      <c r="G183" s="3" t="s">
        <v>747</v>
      </c>
      <c r="H183" s="3" t="s">
        <v>27</v>
      </c>
      <c r="I183" s="3" t="s">
        <v>19</v>
      </c>
      <c r="J183" s="3" t="s">
        <v>748</v>
      </c>
      <c r="K183" s="19">
        <v>10</v>
      </c>
      <c r="L183" s="3"/>
      <c r="M183" s="3" t="s">
        <v>29</v>
      </c>
      <c r="N183" s="20">
        <v>2021.95</v>
      </c>
    </row>
    <row r="184" spans="1:14" ht="20.100000000000001" customHeight="1">
      <c r="A184" s="3" t="s">
        <v>749</v>
      </c>
      <c r="B184" s="18">
        <v>45735</v>
      </c>
      <c r="C184" s="3" t="s">
        <v>750</v>
      </c>
      <c r="D184" s="3" t="s">
        <v>73</v>
      </c>
      <c r="E184" s="19">
        <v>1</v>
      </c>
      <c r="F184" s="20">
        <v>600.54</v>
      </c>
      <c r="G184" s="3" t="s">
        <v>751</v>
      </c>
      <c r="H184" s="3" t="s">
        <v>18</v>
      </c>
      <c r="I184" s="3" t="s">
        <v>89</v>
      </c>
      <c r="J184" s="3" t="s">
        <v>752</v>
      </c>
      <c r="K184" s="19">
        <v>4</v>
      </c>
      <c r="L184" s="3" t="s">
        <v>81</v>
      </c>
      <c r="M184" s="3" t="s">
        <v>76</v>
      </c>
      <c r="N184" s="20">
        <v>600.54</v>
      </c>
    </row>
    <row r="185" spans="1:14" ht="20.100000000000001" customHeight="1">
      <c r="A185" s="3" t="s">
        <v>753</v>
      </c>
      <c r="B185" s="18">
        <v>45400</v>
      </c>
      <c r="C185" s="3" t="s">
        <v>754</v>
      </c>
      <c r="D185" s="3" t="s">
        <v>16</v>
      </c>
      <c r="E185" s="19">
        <v>5</v>
      </c>
      <c r="F185" s="20">
        <v>186.28</v>
      </c>
      <c r="G185" s="3" t="s">
        <v>755</v>
      </c>
      <c r="H185" s="3" t="s">
        <v>18</v>
      </c>
      <c r="I185" s="3" t="s">
        <v>50</v>
      </c>
      <c r="J185" s="3" t="s">
        <v>756</v>
      </c>
      <c r="K185" s="19">
        <v>8</v>
      </c>
      <c r="L185" s="3" t="s">
        <v>21</v>
      </c>
      <c r="M185" s="3" t="s">
        <v>38</v>
      </c>
      <c r="N185" s="20">
        <v>931.4</v>
      </c>
    </row>
    <row r="186" spans="1:14" ht="20.100000000000001" customHeight="1">
      <c r="A186" s="3" t="s">
        <v>757</v>
      </c>
      <c r="B186" s="18">
        <v>45386</v>
      </c>
      <c r="C186" s="3" t="s">
        <v>758</v>
      </c>
      <c r="D186" s="3" t="s">
        <v>32</v>
      </c>
      <c r="E186" s="19">
        <v>4</v>
      </c>
      <c r="F186" s="20">
        <v>214.54</v>
      </c>
      <c r="G186" s="3" t="s">
        <v>759</v>
      </c>
      <c r="H186" s="3" t="s">
        <v>60</v>
      </c>
      <c r="I186" s="3" t="s">
        <v>35</v>
      </c>
      <c r="J186" s="3" t="s">
        <v>760</v>
      </c>
      <c r="K186" s="19">
        <v>7</v>
      </c>
      <c r="L186" s="3"/>
      <c r="M186" s="3" t="s">
        <v>29</v>
      </c>
      <c r="N186" s="20">
        <v>858.16</v>
      </c>
    </row>
    <row r="187" spans="1:14" ht="20.100000000000001" customHeight="1">
      <c r="A187" s="3" t="s">
        <v>761</v>
      </c>
      <c r="B187" s="18">
        <v>45690</v>
      </c>
      <c r="C187" s="3" t="s">
        <v>762</v>
      </c>
      <c r="D187" s="3" t="s">
        <v>58</v>
      </c>
      <c r="E187" s="19">
        <v>1</v>
      </c>
      <c r="F187" s="20">
        <v>210.7</v>
      </c>
      <c r="G187" s="3" t="s">
        <v>763</v>
      </c>
      <c r="H187" s="3" t="s">
        <v>27</v>
      </c>
      <c r="I187" s="3" t="s">
        <v>19</v>
      </c>
      <c r="J187" s="3" t="s">
        <v>764</v>
      </c>
      <c r="K187" s="19">
        <v>2</v>
      </c>
      <c r="L187" s="3" t="s">
        <v>81</v>
      </c>
      <c r="M187" s="3" t="s">
        <v>29</v>
      </c>
      <c r="N187" s="20">
        <v>210.7</v>
      </c>
    </row>
    <row r="188" spans="1:14" ht="20.100000000000001" customHeight="1">
      <c r="A188" s="3" t="s">
        <v>765</v>
      </c>
      <c r="B188" s="18">
        <v>45267</v>
      </c>
      <c r="C188" s="3" t="s">
        <v>766</v>
      </c>
      <c r="D188" s="3" t="s">
        <v>25</v>
      </c>
      <c r="E188" s="19">
        <v>2</v>
      </c>
      <c r="F188" s="20">
        <v>133.55000000000001</v>
      </c>
      <c r="G188" s="3" t="s">
        <v>767</v>
      </c>
      <c r="H188" s="3" t="s">
        <v>65</v>
      </c>
      <c r="I188" s="3" t="s">
        <v>89</v>
      </c>
      <c r="J188" s="3" t="s">
        <v>768</v>
      </c>
      <c r="K188" s="19">
        <v>7</v>
      </c>
      <c r="L188" s="3" t="s">
        <v>37</v>
      </c>
      <c r="M188" s="3" t="s">
        <v>45</v>
      </c>
      <c r="N188" s="20">
        <v>267.10000000000002</v>
      </c>
    </row>
    <row r="189" spans="1:14" ht="20.100000000000001" customHeight="1">
      <c r="A189" s="3" t="s">
        <v>769</v>
      </c>
      <c r="B189" s="18">
        <v>44965</v>
      </c>
      <c r="C189" s="3" t="s">
        <v>770</v>
      </c>
      <c r="D189" s="3" t="s">
        <v>41</v>
      </c>
      <c r="E189" s="19">
        <v>1</v>
      </c>
      <c r="F189" s="20">
        <v>590.87</v>
      </c>
      <c r="G189" s="3" t="s">
        <v>771</v>
      </c>
      <c r="H189" s="3" t="s">
        <v>60</v>
      </c>
      <c r="I189" s="3" t="s">
        <v>43</v>
      </c>
      <c r="J189" s="3" t="s">
        <v>772</v>
      </c>
      <c r="K189" s="19">
        <v>6</v>
      </c>
      <c r="L189" s="3" t="s">
        <v>37</v>
      </c>
      <c r="M189" s="3" t="s">
        <v>29</v>
      </c>
      <c r="N189" s="20">
        <v>590.87</v>
      </c>
    </row>
    <row r="190" spans="1:14" ht="20.100000000000001" customHeight="1">
      <c r="A190" s="3" t="s">
        <v>773</v>
      </c>
      <c r="B190" s="18">
        <v>45731</v>
      </c>
      <c r="C190" s="3" t="s">
        <v>774</v>
      </c>
      <c r="D190" s="3" t="s">
        <v>41</v>
      </c>
      <c r="E190" s="19">
        <v>2</v>
      </c>
      <c r="F190" s="20">
        <v>363.91</v>
      </c>
      <c r="G190" s="3" t="s">
        <v>775</v>
      </c>
      <c r="H190" s="3" t="s">
        <v>60</v>
      </c>
      <c r="I190" s="3" t="s">
        <v>19</v>
      </c>
      <c r="J190" s="3" t="s">
        <v>776</v>
      </c>
      <c r="K190" s="19">
        <v>2</v>
      </c>
      <c r="L190" s="3" t="s">
        <v>37</v>
      </c>
      <c r="M190" s="3" t="s">
        <v>29</v>
      </c>
      <c r="N190" s="20">
        <v>727.82</v>
      </c>
    </row>
    <row r="191" spans="1:14" ht="20.100000000000001" customHeight="1">
      <c r="A191" s="3" t="s">
        <v>777</v>
      </c>
      <c r="B191" s="18">
        <v>45112</v>
      </c>
      <c r="C191" s="3" t="s">
        <v>778</v>
      </c>
      <c r="D191" s="3" t="s">
        <v>48</v>
      </c>
      <c r="E191" s="19">
        <v>5</v>
      </c>
      <c r="F191" s="20">
        <v>429.45</v>
      </c>
      <c r="G191" s="3" t="s">
        <v>779</v>
      </c>
      <c r="H191" s="3" t="s">
        <v>60</v>
      </c>
      <c r="I191" s="3" t="s">
        <v>35</v>
      </c>
      <c r="J191" s="3" t="s">
        <v>780</v>
      </c>
      <c r="K191" s="19">
        <v>5</v>
      </c>
      <c r="L191" s="3" t="s">
        <v>81</v>
      </c>
      <c r="M191" s="3" t="s">
        <v>38</v>
      </c>
      <c r="N191" s="20">
        <v>2147.25</v>
      </c>
    </row>
    <row r="192" spans="1:14" ht="20.100000000000001" customHeight="1">
      <c r="A192" s="3" t="s">
        <v>781</v>
      </c>
      <c r="B192" s="18">
        <v>45535</v>
      </c>
      <c r="C192" s="3" t="s">
        <v>782</v>
      </c>
      <c r="D192" s="3" t="s">
        <v>48</v>
      </c>
      <c r="E192" s="19">
        <v>3</v>
      </c>
      <c r="F192" s="20">
        <v>223.7</v>
      </c>
      <c r="G192" s="3" t="s">
        <v>783</v>
      </c>
      <c r="H192" s="3" t="s">
        <v>65</v>
      </c>
      <c r="I192" s="3" t="s">
        <v>43</v>
      </c>
      <c r="J192" s="3" t="s">
        <v>784</v>
      </c>
      <c r="K192" s="19">
        <v>3</v>
      </c>
      <c r="L192" s="3" t="s">
        <v>21</v>
      </c>
      <c r="M192" s="3" t="s">
        <v>38</v>
      </c>
      <c r="N192" s="20">
        <v>671.09999999999991</v>
      </c>
    </row>
    <row r="193" spans="1:14" ht="20.100000000000001" customHeight="1">
      <c r="A193" s="3" t="s">
        <v>785</v>
      </c>
      <c r="B193" s="18">
        <v>45724</v>
      </c>
      <c r="C193" s="3" t="s">
        <v>786</v>
      </c>
      <c r="D193" s="3" t="s">
        <v>58</v>
      </c>
      <c r="E193" s="19">
        <v>2</v>
      </c>
      <c r="F193" s="20">
        <v>488.87</v>
      </c>
      <c r="G193" s="3" t="s">
        <v>787</v>
      </c>
      <c r="H193" s="3" t="s">
        <v>27</v>
      </c>
      <c r="I193" s="3" t="s">
        <v>35</v>
      </c>
      <c r="J193" s="3" t="s">
        <v>788</v>
      </c>
      <c r="K193" s="19">
        <v>4</v>
      </c>
      <c r="L193" s="3" t="s">
        <v>37</v>
      </c>
      <c r="M193" s="3" t="s">
        <v>76</v>
      </c>
      <c r="N193" s="20">
        <v>977.74</v>
      </c>
    </row>
    <row r="194" spans="1:14" ht="20.100000000000001" customHeight="1">
      <c r="A194" s="3" t="s">
        <v>789</v>
      </c>
      <c r="B194" s="18">
        <v>45149</v>
      </c>
      <c r="C194" s="3" t="s">
        <v>790</v>
      </c>
      <c r="D194" s="3" t="s">
        <v>73</v>
      </c>
      <c r="E194" s="19">
        <v>1</v>
      </c>
      <c r="F194" s="20">
        <v>645.46</v>
      </c>
      <c r="G194" s="3" t="s">
        <v>595</v>
      </c>
      <c r="H194" s="3" t="s">
        <v>60</v>
      </c>
      <c r="I194" s="3" t="s">
        <v>35</v>
      </c>
      <c r="J194" s="3" t="s">
        <v>791</v>
      </c>
      <c r="K194" s="19">
        <v>5</v>
      </c>
      <c r="L194" s="3" t="s">
        <v>21</v>
      </c>
      <c r="M194" s="3" t="s">
        <v>76</v>
      </c>
      <c r="N194" s="20">
        <v>645.46</v>
      </c>
    </row>
    <row r="195" spans="1:14" ht="20.100000000000001" customHeight="1">
      <c r="A195" s="3" t="s">
        <v>792</v>
      </c>
      <c r="B195" s="18">
        <v>45128</v>
      </c>
      <c r="C195" s="3" t="s">
        <v>793</v>
      </c>
      <c r="D195" s="3" t="s">
        <v>48</v>
      </c>
      <c r="E195" s="19">
        <v>1</v>
      </c>
      <c r="F195" s="20">
        <v>46.66</v>
      </c>
      <c r="G195" s="3" t="s">
        <v>794</v>
      </c>
      <c r="H195" s="3" t="s">
        <v>65</v>
      </c>
      <c r="I195" s="3" t="s">
        <v>35</v>
      </c>
      <c r="J195" s="3" t="s">
        <v>795</v>
      </c>
      <c r="K195" s="19">
        <v>6</v>
      </c>
      <c r="L195" s="3"/>
      <c r="M195" s="3" t="s">
        <v>76</v>
      </c>
      <c r="N195" s="20">
        <v>46.66</v>
      </c>
    </row>
    <row r="196" spans="1:14" ht="20.100000000000001" customHeight="1">
      <c r="A196" s="3" t="s">
        <v>796</v>
      </c>
      <c r="B196" s="18">
        <v>45451</v>
      </c>
      <c r="C196" s="3" t="s">
        <v>797</v>
      </c>
      <c r="D196" s="3" t="s">
        <v>16</v>
      </c>
      <c r="E196" s="19">
        <v>1</v>
      </c>
      <c r="F196" s="20">
        <v>249.57</v>
      </c>
      <c r="G196" s="3" t="s">
        <v>798</v>
      </c>
      <c r="H196" s="3" t="s">
        <v>65</v>
      </c>
      <c r="I196" s="3" t="s">
        <v>19</v>
      </c>
      <c r="J196" s="3" t="s">
        <v>799</v>
      </c>
      <c r="K196" s="19">
        <v>3</v>
      </c>
      <c r="L196" s="3" t="s">
        <v>37</v>
      </c>
      <c r="M196" s="3" t="s">
        <v>76</v>
      </c>
      <c r="N196" s="20">
        <v>249.57</v>
      </c>
    </row>
    <row r="197" spans="1:14" ht="20.100000000000001" customHeight="1">
      <c r="A197" s="3" t="s">
        <v>800</v>
      </c>
      <c r="B197" s="18">
        <v>45404</v>
      </c>
      <c r="C197" s="3" t="s">
        <v>801</v>
      </c>
      <c r="D197" s="3" t="s">
        <v>41</v>
      </c>
      <c r="E197" s="19">
        <v>3</v>
      </c>
      <c r="F197" s="20">
        <v>619.21</v>
      </c>
      <c r="G197" s="3" t="s">
        <v>802</v>
      </c>
      <c r="H197" s="3" t="s">
        <v>18</v>
      </c>
      <c r="I197" s="3" t="s">
        <v>35</v>
      </c>
      <c r="J197" s="3" t="s">
        <v>803</v>
      </c>
      <c r="K197" s="19">
        <v>6</v>
      </c>
      <c r="L197" s="3"/>
      <c r="M197" s="3" t="s">
        <v>38</v>
      </c>
      <c r="N197" s="20">
        <v>1857.63</v>
      </c>
    </row>
    <row r="198" spans="1:14" ht="20.100000000000001" customHeight="1">
      <c r="A198" s="3" t="s">
        <v>804</v>
      </c>
      <c r="B198" s="18">
        <v>45681</v>
      </c>
      <c r="C198" s="3" t="s">
        <v>805</v>
      </c>
      <c r="D198" s="3" t="s">
        <v>73</v>
      </c>
      <c r="E198" s="19">
        <v>4</v>
      </c>
      <c r="F198" s="20">
        <v>217.13</v>
      </c>
      <c r="G198" s="3" t="s">
        <v>806</v>
      </c>
      <c r="H198" s="3" t="s">
        <v>65</v>
      </c>
      <c r="I198" s="3" t="s">
        <v>50</v>
      </c>
      <c r="J198" s="3" t="s">
        <v>807</v>
      </c>
      <c r="K198" s="19">
        <v>8</v>
      </c>
      <c r="L198" s="3" t="s">
        <v>81</v>
      </c>
      <c r="M198" s="3" t="s">
        <v>38</v>
      </c>
      <c r="N198" s="20">
        <v>868.52</v>
      </c>
    </row>
    <row r="199" spans="1:14" ht="20.100000000000001" customHeight="1">
      <c r="A199" s="3" t="s">
        <v>808</v>
      </c>
      <c r="B199" s="18">
        <v>45165</v>
      </c>
      <c r="C199" s="3" t="s">
        <v>809</v>
      </c>
      <c r="D199" s="3" t="s">
        <v>58</v>
      </c>
      <c r="E199" s="19">
        <v>5</v>
      </c>
      <c r="F199" s="20">
        <v>221.51</v>
      </c>
      <c r="G199" s="3" t="s">
        <v>810</v>
      </c>
      <c r="H199" s="3" t="s">
        <v>65</v>
      </c>
      <c r="I199" s="3" t="s">
        <v>43</v>
      </c>
      <c r="J199" s="3" t="s">
        <v>811</v>
      </c>
      <c r="K199" s="19">
        <v>5</v>
      </c>
      <c r="L199" s="3" t="s">
        <v>81</v>
      </c>
      <c r="M199" s="3" t="s">
        <v>29</v>
      </c>
      <c r="N199" s="20">
        <v>1107.55</v>
      </c>
    </row>
    <row r="200" spans="1:14" ht="20.100000000000001" customHeight="1">
      <c r="A200" s="3" t="s">
        <v>812</v>
      </c>
      <c r="B200" s="18">
        <v>45454</v>
      </c>
      <c r="C200" s="3" t="s">
        <v>813</v>
      </c>
      <c r="D200" s="3" t="s">
        <v>58</v>
      </c>
      <c r="E200" s="19">
        <v>4</v>
      </c>
      <c r="F200" s="20">
        <v>340.3</v>
      </c>
      <c r="G200" s="3" t="s">
        <v>177</v>
      </c>
      <c r="H200" s="3" t="s">
        <v>65</v>
      </c>
      <c r="I200" s="3" t="s">
        <v>35</v>
      </c>
      <c r="J200" s="3" t="s">
        <v>814</v>
      </c>
      <c r="K200" s="19">
        <v>8</v>
      </c>
      <c r="L200" s="3" t="s">
        <v>21</v>
      </c>
      <c r="M200" s="3" t="s">
        <v>29</v>
      </c>
      <c r="N200" s="20">
        <v>1361.2</v>
      </c>
    </row>
    <row r="201" spans="1:14" ht="20.100000000000001" customHeight="1">
      <c r="A201" s="3" t="s">
        <v>815</v>
      </c>
      <c r="B201" s="18">
        <v>45680</v>
      </c>
      <c r="C201" s="3" t="s">
        <v>816</v>
      </c>
      <c r="D201" s="3" t="s">
        <v>25</v>
      </c>
      <c r="E201" s="19">
        <v>1</v>
      </c>
      <c r="F201" s="20">
        <v>625</v>
      </c>
      <c r="G201" s="3" t="s">
        <v>817</v>
      </c>
      <c r="H201" s="3" t="s">
        <v>27</v>
      </c>
      <c r="I201" s="3" t="s">
        <v>43</v>
      </c>
      <c r="J201" s="3" t="s">
        <v>818</v>
      </c>
      <c r="K201" s="19">
        <v>5</v>
      </c>
      <c r="L201" s="3" t="s">
        <v>81</v>
      </c>
      <c r="M201" s="3" t="s">
        <v>76</v>
      </c>
      <c r="N201" s="20">
        <v>625</v>
      </c>
    </row>
    <row r="202" spans="1:14" ht="20.100000000000001" customHeight="1">
      <c r="A202" s="3" t="s">
        <v>819</v>
      </c>
      <c r="B202" s="18">
        <v>45815</v>
      </c>
      <c r="C202" s="3" t="s">
        <v>820</v>
      </c>
      <c r="D202" s="3" t="s">
        <v>32</v>
      </c>
      <c r="E202" s="19">
        <v>5</v>
      </c>
      <c r="F202" s="20">
        <v>433.26</v>
      </c>
      <c r="G202" s="3" t="s">
        <v>161</v>
      </c>
      <c r="H202" s="3" t="s">
        <v>34</v>
      </c>
      <c r="I202" s="3" t="s">
        <v>50</v>
      </c>
      <c r="J202" s="3" t="s">
        <v>821</v>
      </c>
      <c r="K202" s="19">
        <v>9</v>
      </c>
      <c r="L202" s="3" t="s">
        <v>21</v>
      </c>
      <c r="M202" s="3" t="s">
        <v>76</v>
      </c>
      <c r="N202" s="20">
        <v>2166.3000000000002</v>
      </c>
    </row>
    <row r="203" spans="1:14" ht="20.100000000000001" customHeight="1">
      <c r="A203" s="3" t="s">
        <v>822</v>
      </c>
      <c r="B203" s="18">
        <v>45095</v>
      </c>
      <c r="C203" s="3" t="s">
        <v>823</v>
      </c>
      <c r="D203" s="3" t="s">
        <v>16</v>
      </c>
      <c r="E203" s="19">
        <v>2</v>
      </c>
      <c r="F203" s="20">
        <v>674.9</v>
      </c>
      <c r="G203" s="3" t="s">
        <v>347</v>
      </c>
      <c r="H203" s="3" t="s">
        <v>27</v>
      </c>
      <c r="I203" s="3" t="s">
        <v>19</v>
      </c>
      <c r="J203" s="3" t="s">
        <v>824</v>
      </c>
      <c r="K203" s="19">
        <v>4</v>
      </c>
      <c r="L203" s="3" t="s">
        <v>21</v>
      </c>
      <c r="M203" s="3" t="s">
        <v>45</v>
      </c>
      <c r="N203" s="20">
        <v>1349.8</v>
      </c>
    </row>
    <row r="204" spans="1:14" ht="20.100000000000001" customHeight="1">
      <c r="A204" s="3" t="s">
        <v>825</v>
      </c>
      <c r="B204" s="18">
        <v>45694</v>
      </c>
      <c r="C204" s="3" t="s">
        <v>826</v>
      </c>
      <c r="D204" s="3" t="s">
        <v>16</v>
      </c>
      <c r="E204" s="19">
        <v>3</v>
      </c>
      <c r="F204" s="20">
        <v>253.98</v>
      </c>
      <c r="G204" s="3" t="s">
        <v>565</v>
      </c>
      <c r="H204" s="3" t="s">
        <v>34</v>
      </c>
      <c r="I204" s="3" t="s">
        <v>35</v>
      </c>
      <c r="J204" s="3" t="s">
        <v>827</v>
      </c>
      <c r="K204" s="19">
        <v>3</v>
      </c>
      <c r="L204" s="3" t="s">
        <v>37</v>
      </c>
      <c r="M204" s="3" t="s">
        <v>38</v>
      </c>
      <c r="N204" s="20">
        <v>761.93999999999994</v>
      </c>
    </row>
    <row r="205" spans="1:14" ht="20.100000000000001" customHeight="1">
      <c r="A205" s="3" t="s">
        <v>828</v>
      </c>
      <c r="B205" s="18">
        <v>45678</v>
      </c>
      <c r="C205" s="3" t="s">
        <v>829</v>
      </c>
      <c r="D205" s="3" t="s">
        <v>48</v>
      </c>
      <c r="E205" s="19">
        <v>3</v>
      </c>
      <c r="F205" s="20">
        <v>356.84</v>
      </c>
      <c r="G205" s="3" t="s">
        <v>830</v>
      </c>
      <c r="H205" s="3" t="s">
        <v>27</v>
      </c>
      <c r="I205" s="3" t="s">
        <v>19</v>
      </c>
      <c r="J205" s="3" t="s">
        <v>831</v>
      </c>
      <c r="K205" s="19">
        <v>5</v>
      </c>
      <c r="L205" s="3" t="s">
        <v>21</v>
      </c>
      <c r="M205" s="3" t="s">
        <v>22</v>
      </c>
      <c r="N205" s="20">
        <v>1070.52</v>
      </c>
    </row>
    <row r="206" spans="1:14" ht="20.100000000000001" customHeight="1">
      <c r="A206" s="3" t="s">
        <v>832</v>
      </c>
      <c r="B206" s="18">
        <v>45174</v>
      </c>
      <c r="C206" s="3" t="s">
        <v>833</v>
      </c>
      <c r="D206" s="3" t="s">
        <v>58</v>
      </c>
      <c r="E206" s="19">
        <v>4</v>
      </c>
      <c r="F206" s="20">
        <v>413.71</v>
      </c>
      <c r="G206" s="3" t="s">
        <v>584</v>
      </c>
      <c r="H206" s="3" t="s">
        <v>60</v>
      </c>
      <c r="I206" s="3" t="s">
        <v>35</v>
      </c>
      <c r="J206" s="3" t="s">
        <v>834</v>
      </c>
      <c r="K206" s="19">
        <v>9</v>
      </c>
      <c r="L206" s="3" t="s">
        <v>37</v>
      </c>
      <c r="M206" s="3" t="s">
        <v>45</v>
      </c>
      <c r="N206" s="20">
        <v>1654.84</v>
      </c>
    </row>
    <row r="207" spans="1:14" ht="20.100000000000001" customHeight="1">
      <c r="A207" s="3" t="s">
        <v>835</v>
      </c>
      <c r="B207" s="18">
        <v>44989</v>
      </c>
      <c r="C207" s="3" t="s">
        <v>836</v>
      </c>
      <c r="D207" s="3" t="s">
        <v>73</v>
      </c>
      <c r="E207" s="19">
        <v>3</v>
      </c>
      <c r="F207" s="20">
        <v>147.38999999999999</v>
      </c>
      <c r="G207" s="3" t="s">
        <v>837</v>
      </c>
      <c r="H207" s="3" t="s">
        <v>18</v>
      </c>
      <c r="I207" s="3" t="s">
        <v>43</v>
      </c>
      <c r="J207" s="3" t="s">
        <v>838</v>
      </c>
      <c r="K207" s="19">
        <v>3</v>
      </c>
      <c r="L207" s="3"/>
      <c r="M207" s="3" t="s">
        <v>38</v>
      </c>
      <c r="N207" s="20">
        <v>442.17</v>
      </c>
    </row>
    <row r="208" spans="1:14" ht="20.100000000000001" customHeight="1">
      <c r="A208" s="3" t="s">
        <v>839</v>
      </c>
      <c r="B208" s="18">
        <v>45398</v>
      </c>
      <c r="C208" s="3" t="s">
        <v>840</v>
      </c>
      <c r="D208" s="3" t="s">
        <v>58</v>
      </c>
      <c r="E208" s="19">
        <v>4</v>
      </c>
      <c r="F208" s="20">
        <v>229.1</v>
      </c>
      <c r="G208" s="3" t="s">
        <v>841</v>
      </c>
      <c r="H208" s="3" t="s">
        <v>60</v>
      </c>
      <c r="I208" s="3" t="s">
        <v>43</v>
      </c>
      <c r="J208" s="3" t="s">
        <v>842</v>
      </c>
      <c r="K208" s="19">
        <v>8</v>
      </c>
      <c r="L208" s="3" t="s">
        <v>81</v>
      </c>
      <c r="M208" s="3" t="s">
        <v>38</v>
      </c>
      <c r="N208" s="20">
        <v>916.4</v>
      </c>
    </row>
    <row r="209" spans="1:14" ht="20.100000000000001" customHeight="1">
      <c r="A209" s="3" t="s">
        <v>843</v>
      </c>
      <c r="B209" s="18">
        <v>45734</v>
      </c>
      <c r="C209" s="3" t="s">
        <v>844</v>
      </c>
      <c r="D209" s="3" t="s">
        <v>25</v>
      </c>
      <c r="E209" s="19">
        <v>1</v>
      </c>
      <c r="F209" s="20">
        <v>121.96</v>
      </c>
      <c r="G209" s="3" t="s">
        <v>845</v>
      </c>
      <c r="H209" s="3" t="s">
        <v>18</v>
      </c>
      <c r="I209" s="3" t="s">
        <v>50</v>
      </c>
      <c r="J209" s="3" t="s">
        <v>846</v>
      </c>
      <c r="K209" s="19">
        <v>3</v>
      </c>
      <c r="L209" s="3"/>
      <c r="M209" s="3" t="s">
        <v>76</v>
      </c>
      <c r="N209" s="20">
        <v>121.96</v>
      </c>
    </row>
    <row r="210" spans="1:14" ht="20.100000000000001" customHeight="1">
      <c r="A210" s="3" t="s">
        <v>847</v>
      </c>
      <c r="B210" s="18">
        <v>45573</v>
      </c>
      <c r="C210" s="3" t="s">
        <v>848</v>
      </c>
      <c r="D210" s="3" t="s">
        <v>73</v>
      </c>
      <c r="E210" s="19">
        <v>2</v>
      </c>
      <c r="F210" s="20">
        <v>408.32</v>
      </c>
      <c r="G210" s="3" t="s">
        <v>779</v>
      </c>
      <c r="H210" s="3" t="s">
        <v>27</v>
      </c>
      <c r="I210" s="3" t="s">
        <v>19</v>
      </c>
      <c r="J210" s="3" t="s">
        <v>849</v>
      </c>
      <c r="K210" s="19">
        <v>3</v>
      </c>
      <c r="L210" s="3" t="s">
        <v>37</v>
      </c>
      <c r="M210" s="3" t="s">
        <v>45</v>
      </c>
      <c r="N210" s="20">
        <v>816.64</v>
      </c>
    </row>
    <row r="211" spans="1:14" ht="20.100000000000001" customHeight="1">
      <c r="A211" s="3" t="s">
        <v>850</v>
      </c>
      <c r="B211" s="18">
        <v>45167</v>
      </c>
      <c r="C211" s="3" t="s">
        <v>851</v>
      </c>
      <c r="D211" s="3" t="s">
        <v>32</v>
      </c>
      <c r="E211" s="19">
        <v>5</v>
      </c>
      <c r="F211" s="20">
        <v>187.97</v>
      </c>
      <c r="G211" s="3" t="s">
        <v>64</v>
      </c>
      <c r="H211" s="3" t="s">
        <v>65</v>
      </c>
      <c r="I211" s="3" t="s">
        <v>43</v>
      </c>
      <c r="J211" s="3" t="s">
        <v>852</v>
      </c>
      <c r="K211" s="19">
        <v>9</v>
      </c>
      <c r="L211" s="3" t="s">
        <v>21</v>
      </c>
      <c r="M211" s="3" t="s">
        <v>76</v>
      </c>
      <c r="N211" s="20">
        <v>939.85</v>
      </c>
    </row>
    <row r="212" spans="1:14" ht="20.100000000000001" customHeight="1">
      <c r="A212" s="3" t="s">
        <v>853</v>
      </c>
      <c r="B212" s="18">
        <v>45631</v>
      </c>
      <c r="C212" s="3" t="s">
        <v>854</v>
      </c>
      <c r="D212" s="3" t="s">
        <v>41</v>
      </c>
      <c r="E212" s="19">
        <v>3</v>
      </c>
      <c r="F212" s="20">
        <v>358.48</v>
      </c>
      <c r="G212" s="3" t="s">
        <v>553</v>
      </c>
      <c r="H212" s="3" t="s">
        <v>60</v>
      </c>
      <c r="I212" s="3" t="s">
        <v>50</v>
      </c>
      <c r="J212" s="3" t="s">
        <v>855</v>
      </c>
      <c r="K212" s="19">
        <v>7</v>
      </c>
      <c r="L212" s="3" t="s">
        <v>37</v>
      </c>
      <c r="M212" s="3" t="s">
        <v>45</v>
      </c>
      <c r="N212" s="20">
        <v>1075.44</v>
      </c>
    </row>
    <row r="213" spans="1:14" ht="20.100000000000001" customHeight="1">
      <c r="A213" s="3" t="s">
        <v>856</v>
      </c>
      <c r="B213" s="18">
        <v>45660</v>
      </c>
      <c r="C213" s="3" t="s">
        <v>857</v>
      </c>
      <c r="D213" s="3" t="s">
        <v>48</v>
      </c>
      <c r="E213" s="19">
        <v>3</v>
      </c>
      <c r="F213" s="20">
        <v>193.58</v>
      </c>
      <c r="G213" s="3" t="s">
        <v>858</v>
      </c>
      <c r="H213" s="3" t="s">
        <v>60</v>
      </c>
      <c r="I213" s="3" t="s">
        <v>89</v>
      </c>
      <c r="J213" s="3" t="s">
        <v>859</v>
      </c>
      <c r="K213" s="19">
        <v>7</v>
      </c>
      <c r="L213" s="3" t="s">
        <v>37</v>
      </c>
      <c r="M213" s="3" t="s">
        <v>38</v>
      </c>
      <c r="N213" s="20">
        <v>580.74</v>
      </c>
    </row>
    <row r="214" spans="1:14" ht="20.100000000000001" customHeight="1">
      <c r="A214" s="3" t="s">
        <v>860</v>
      </c>
      <c r="B214" s="18">
        <v>45097</v>
      </c>
      <c r="C214" s="3" t="s">
        <v>861</v>
      </c>
      <c r="D214" s="3" t="s">
        <v>16</v>
      </c>
      <c r="E214" s="19">
        <v>1</v>
      </c>
      <c r="F214" s="20">
        <v>265.38</v>
      </c>
      <c r="G214" s="3" t="s">
        <v>862</v>
      </c>
      <c r="H214" s="3" t="s">
        <v>34</v>
      </c>
      <c r="I214" s="3" t="s">
        <v>35</v>
      </c>
      <c r="J214" s="3" t="s">
        <v>863</v>
      </c>
      <c r="K214" s="19">
        <v>6</v>
      </c>
      <c r="L214" s="3" t="s">
        <v>81</v>
      </c>
      <c r="M214" s="3" t="s">
        <v>38</v>
      </c>
      <c r="N214" s="20">
        <v>265.38</v>
      </c>
    </row>
    <row r="215" spans="1:14" ht="20.100000000000001" customHeight="1">
      <c r="A215" s="3" t="s">
        <v>864</v>
      </c>
      <c r="B215" s="18">
        <v>45036</v>
      </c>
      <c r="C215" s="3" t="s">
        <v>865</v>
      </c>
      <c r="D215" s="3" t="s">
        <v>58</v>
      </c>
      <c r="E215" s="19">
        <v>1</v>
      </c>
      <c r="F215" s="20">
        <v>634.4</v>
      </c>
      <c r="G215" s="3" t="s">
        <v>866</v>
      </c>
      <c r="H215" s="3" t="s">
        <v>65</v>
      </c>
      <c r="I215" s="3" t="s">
        <v>35</v>
      </c>
      <c r="J215" s="3" t="s">
        <v>867</v>
      </c>
      <c r="K215" s="19">
        <v>6</v>
      </c>
      <c r="L215" s="3" t="s">
        <v>21</v>
      </c>
      <c r="M215" s="3" t="s">
        <v>38</v>
      </c>
      <c r="N215" s="20">
        <v>634.4</v>
      </c>
    </row>
    <row r="216" spans="1:14" ht="20.100000000000001" customHeight="1">
      <c r="A216" s="3" t="s">
        <v>868</v>
      </c>
      <c r="B216" s="18">
        <v>45525</v>
      </c>
      <c r="C216" s="3" t="s">
        <v>869</v>
      </c>
      <c r="D216" s="3" t="s">
        <v>73</v>
      </c>
      <c r="E216" s="19">
        <v>4</v>
      </c>
      <c r="F216" s="20">
        <v>305.72000000000003</v>
      </c>
      <c r="G216" s="3" t="s">
        <v>517</v>
      </c>
      <c r="H216" s="3" t="s">
        <v>27</v>
      </c>
      <c r="I216" s="3" t="s">
        <v>50</v>
      </c>
      <c r="J216" s="3" t="s">
        <v>870</v>
      </c>
      <c r="K216" s="19">
        <v>5</v>
      </c>
      <c r="L216" s="3"/>
      <c r="M216" s="3" t="s">
        <v>45</v>
      </c>
      <c r="N216" s="20">
        <v>1222.8800000000001</v>
      </c>
    </row>
    <row r="217" spans="1:14" ht="20.100000000000001" customHeight="1">
      <c r="A217" s="3" t="s">
        <v>871</v>
      </c>
      <c r="B217" s="18">
        <v>45148</v>
      </c>
      <c r="C217" s="3" t="s">
        <v>872</v>
      </c>
      <c r="D217" s="3" t="s">
        <v>48</v>
      </c>
      <c r="E217" s="19">
        <v>1</v>
      </c>
      <c r="F217" s="20">
        <v>303.60000000000002</v>
      </c>
      <c r="G217" s="3" t="s">
        <v>873</v>
      </c>
      <c r="H217" s="3" t="s">
        <v>65</v>
      </c>
      <c r="I217" s="3" t="s">
        <v>19</v>
      </c>
      <c r="J217" s="3" t="s">
        <v>874</v>
      </c>
      <c r="K217" s="19">
        <v>5</v>
      </c>
      <c r="L217" s="3" t="s">
        <v>37</v>
      </c>
      <c r="M217" s="3" t="s">
        <v>45</v>
      </c>
      <c r="N217" s="20">
        <v>303.60000000000002</v>
      </c>
    </row>
    <row r="218" spans="1:14" ht="20.100000000000001" customHeight="1">
      <c r="A218" s="3" t="s">
        <v>875</v>
      </c>
      <c r="B218" s="18">
        <v>45762</v>
      </c>
      <c r="C218" s="3" t="s">
        <v>876</v>
      </c>
      <c r="D218" s="3" t="s">
        <v>16</v>
      </c>
      <c r="E218" s="19">
        <v>4</v>
      </c>
      <c r="F218" s="20">
        <v>496</v>
      </c>
      <c r="G218" s="3" t="s">
        <v>273</v>
      </c>
      <c r="H218" s="3" t="s">
        <v>27</v>
      </c>
      <c r="I218" s="3" t="s">
        <v>35</v>
      </c>
      <c r="J218" s="3" t="s">
        <v>877</v>
      </c>
      <c r="K218" s="19">
        <v>8</v>
      </c>
      <c r="L218" s="3" t="s">
        <v>81</v>
      </c>
      <c r="M218" s="3" t="s">
        <v>76</v>
      </c>
      <c r="N218" s="20">
        <v>1984</v>
      </c>
    </row>
    <row r="219" spans="1:14" ht="20.100000000000001" customHeight="1">
      <c r="A219" s="3" t="s">
        <v>878</v>
      </c>
      <c r="B219" s="18">
        <v>45432</v>
      </c>
      <c r="C219" s="3" t="s">
        <v>879</v>
      </c>
      <c r="D219" s="3" t="s">
        <v>73</v>
      </c>
      <c r="E219" s="19">
        <v>4</v>
      </c>
      <c r="F219" s="20">
        <v>321.51</v>
      </c>
      <c r="G219" s="3" t="s">
        <v>880</v>
      </c>
      <c r="H219" s="3" t="s">
        <v>65</v>
      </c>
      <c r="I219" s="3" t="s">
        <v>43</v>
      </c>
      <c r="J219" s="3" t="s">
        <v>881</v>
      </c>
      <c r="K219" s="19">
        <v>9</v>
      </c>
      <c r="L219" s="3"/>
      <c r="M219" s="3" t="s">
        <v>76</v>
      </c>
      <c r="N219" s="20">
        <v>1286.04</v>
      </c>
    </row>
    <row r="220" spans="1:14" ht="20.100000000000001" customHeight="1">
      <c r="A220" s="3" t="s">
        <v>882</v>
      </c>
      <c r="B220" s="18">
        <v>45044</v>
      </c>
      <c r="C220" s="3" t="s">
        <v>883</v>
      </c>
      <c r="D220" s="3" t="s">
        <v>32</v>
      </c>
      <c r="E220" s="19">
        <v>3</v>
      </c>
      <c r="F220" s="20">
        <v>112.46</v>
      </c>
      <c r="G220" s="3" t="s">
        <v>884</v>
      </c>
      <c r="H220" s="3" t="s">
        <v>60</v>
      </c>
      <c r="I220" s="3" t="s">
        <v>19</v>
      </c>
      <c r="J220" s="3" t="s">
        <v>885</v>
      </c>
      <c r="K220" s="19">
        <v>6</v>
      </c>
      <c r="L220" s="3" t="s">
        <v>21</v>
      </c>
      <c r="M220" s="3" t="s">
        <v>22</v>
      </c>
      <c r="N220" s="20">
        <v>337.38</v>
      </c>
    </row>
    <row r="221" spans="1:14" ht="20.100000000000001" customHeight="1">
      <c r="A221" s="3" t="s">
        <v>886</v>
      </c>
      <c r="B221" s="18">
        <v>45779</v>
      </c>
      <c r="C221" s="3" t="s">
        <v>887</v>
      </c>
      <c r="D221" s="3" t="s">
        <v>58</v>
      </c>
      <c r="E221" s="19">
        <v>5</v>
      </c>
      <c r="F221" s="20">
        <v>61.97</v>
      </c>
      <c r="G221" s="3" t="s">
        <v>888</v>
      </c>
      <c r="H221" s="3" t="s">
        <v>65</v>
      </c>
      <c r="I221" s="3" t="s">
        <v>50</v>
      </c>
      <c r="J221" s="3" t="s">
        <v>889</v>
      </c>
      <c r="K221" s="19">
        <v>6</v>
      </c>
      <c r="L221" s="3" t="s">
        <v>21</v>
      </c>
      <c r="M221" s="3" t="s">
        <v>38</v>
      </c>
      <c r="N221" s="20">
        <v>309.85000000000002</v>
      </c>
    </row>
    <row r="222" spans="1:14" ht="20.100000000000001" customHeight="1">
      <c r="A222" s="3" t="s">
        <v>890</v>
      </c>
      <c r="B222" s="18">
        <v>45125</v>
      </c>
      <c r="C222" s="3" t="s">
        <v>891</v>
      </c>
      <c r="D222" s="3" t="s">
        <v>58</v>
      </c>
      <c r="E222" s="19">
        <v>2</v>
      </c>
      <c r="F222" s="20">
        <v>373.17</v>
      </c>
      <c r="G222" s="3" t="s">
        <v>892</v>
      </c>
      <c r="H222" s="3" t="s">
        <v>34</v>
      </c>
      <c r="I222" s="3" t="s">
        <v>89</v>
      </c>
      <c r="J222" s="3" t="s">
        <v>893</v>
      </c>
      <c r="K222" s="19">
        <v>6</v>
      </c>
      <c r="L222" s="3" t="s">
        <v>21</v>
      </c>
      <c r="M222" s="3" t="s">
        <v>29</v>
      </c>
      <c r="N222" s="20">
        <v>746.34</v>
      </c>
    </row>
    <row r="223" spans="1:14" ht="20.100000000000001" customHeight="1">
      <c r="A223" s="3" t="s">
        <v>894</v>
      </c>
      <c r="B223" s="18">
        <v>45345</v>
      </c>
      <c r="C223" s="3" t="s">
        <v>895</v>
      </c>
      <c r="D223" s="3" t="s">
        <v>32</v>
      </c>
      <c r="E223" s="19">
        <v>5</v>
      </c>
      <c r="F223" s="20">
        <v>639.37</v>
      </c>
      <c r="G223" s="3" t="s">
        <v>312</v>
      </c>
      <c r="H223" s="3" t="s">
        <v>18</v>
      </c>
      <c r="I223" s="3" t="s">
        <v>89</v>
      </c>
      <c r="J223" s="3" t="s">
        <v>896</v>
      </c>
      <c r="K223" s="19">
        <v>6</v>
      </c>
      <c r="L223" s="3" t="s">
        <v>21</v>
      </c>
      <c r="M223" s="3" t="s">
        <v>76</v>
      </c>
      <c r="N223" s="20">
        <v>3196.85</v>
      </c>
    </row>
    <row r="224" spans="1:14" ht="20.100000000000001" customHeight="1">
      <c r="A224" s="3" t="s">
        <v>897</v>
      </c>
      <c r="B224" s="18">
        <v>45050</v>
      </c>
      <c r="C224" s="3" t="s">
        <v>898</v>
      </c>
      <c r="D224" s="3" t="s">
        <v>41</v>
      </c>
      <c r="E224" s="19">
        <v>4</v>
      </c>
      <c r="F224" s="20">
        <v>693.36</v>
      </c>
      <c r="G224" s="3" t="s">
        <v>899</v>
      </c>
      <c r="H224" s="3" t="s">
        <v>27</v>
      </c>
      <c r="I224" s="3" t="s">
        <v>19</v>
      </c>
      <c r="J224" s="3" t="s">
        <v>900</v>
      </c>
      <c r="K224" s="19">
        <v>8</v>
      </c>
      <c r="L224" s="3"/>
      <c r="M224" s="3" t="s">
        <v>22</v>
      </c>
      <c r="N224" s="20">
        <v>2773.44</v>
      </c>
    </row>
    <row r="225" spans="1:14" ht="20.100000000000001" customHeight="1">
      <c r="A225" s="3" t="s">
        <v>901</v>
      </c>
      <c r="B225" s="18">
        <v>45546</v>
      </c>
      <c r="C225" s="3" t="s">
        <v>902</v>
      </c>
      <c r="D225" s="3" t="s">
        <v>25</v>
      </c>
      <c r="E225" s="19">
        <v>4</v>
      </c>
      <c r="F225" s="20">
        <v>692.91</v>
      </c>
      <c r="G225" s="3" t="s">
        <v>517</v>
      </c>
      <c r="H225" s="3" t="s">
        <v>34</v>
      </c>
      <c r="I225" s="3" t="s">
        <v>89</v>
      </c>
      <c r="J225" s="3" t="s">
        <v>903</v>
      </c>
      <c r="K225" s="19">
        <v>9</v>
      </c>
      <c r="L225" s="3" t="s">
        <v>21</v>
      </c>
      <c r="M225" s="3" t="s">
        <v>22</v>
      </c>
      <c r="N225" s="20">
        <v>2771.64</v>
      </c>
    </row>
    <row r="226" spans="1:14" ht="20.100000000000001" customHeight="1">
      <c r="A226" s="3" t="s">
        <v>904</v>
      </c>
      <c r="B226" s="18">
        <v>45192</v>
      </c>
      <c r="C226" s="3" t="s">
        <v>905</v>
      </c>
      <c r="D226" s="3" t="s">
        <v>48</v>
      </c>
      <c r="E226" s="19">
        <v>4</v>
      </c>
      <c r="F226" s="20">
        <v>91.46</v>
      </c>
      <c r="G226" s="3" t="s">
        <v>906</v>
      </c>
      <c r="H226" s="3" t="s">
        <v>65</v>
      </c>
      <c r="I226" s="3" t="s">
        <v>35</v>
      </c>
      <c r="J226" s="3" t="s">
        <v>907</v>
      </c>
      <c r="K226" s="19">
        <v>9</v>
      </c>
      <c r="L226" s="3" t="s">
        <v>21</v>
      </c>
      <c r="M226" s="3" t="s">
        <v>29</v>
      </c>
      <c r="N226" s="20">
        <v>365.84</v>
      </c>
    </row>
    <row r="227" spans="1:14" ht="20.100000000000001" customHeight="1">
      <c r="A227" s="3" t="s">
        <v>908</v>
      </c>
      <c r="B227" s="18">
        <v>45364</v>
      </c>
      <c r="C227" s="3" t="s">
        <v>909</v>
      </c>
      <c r="D227" s="3" t="s">
        <v>25</v>
      </c>
      <c r="E227" s="19">
        <v>3</v>
      </c>
      <c r="F227" s="20">
        <v>273.95999999999998</v>
      </c>
      <c r="G227" s="3" t="s">
        <v>910</v>
      </c>
      <c r="H227" s="3" t="s">
        <v>18</v>
      </c>
      <c r="I227" s="3" t="s">
        <v>43</v>
      </c>
      <c r="J227" s="3" t="s">
        <v>911</v>
      </c>
      <c r="K227" s="19">
        <v>8</v>
      </c>
      <c r="L227" s="3" t="s">
        <v>21</v>
      </c>
      <c r="M227" s="3" t="s">
        <v>76</v>
      </c>
      <c r="N227" s="20">
        <v>821.87999999999988</v>
      </c>
    </row>
    <row r="228" spans="1:14" ht="20.100000000000001" customHeight="1">
      <c r="A228" s="3" t="s">
        <v>912</v>
      </c>
      <c r="B228" s="18">
        <v>45835</v>
      </c>
      <c r="C228" s="3" t="s">
        <v>913</v>
      </c>
      <c r="D228" s="3" t="s">
        <v>73</v>
      </c>
      <c r="E228" s="19">
        <v>3</v>
      </c>
      <c r="F228" s="20">
        <v>588.04999999999995</v>
      </c>
      <c r="G228" s="3" t="s">
        <v>914</v>
      </c>
      <c r="H228" s="3" t="s">
        <v>60</v>
      </c>
      <c r="I228" s="3" t="s">
        <v>50</v>
      </c>
      <c r="J228" s="3" t="s">
        <v>915</v>
      </c>
      <c r="K228" s="19">
        <v>8</v>
      </c>
      <c r="L228" s="3"/>
      <c r="M228" s="3" t="s">
        <v>22</v>
      </c>
      <c r="N228" s="20">
        <v>1764.15</v>
      </c>
    </row>
    <row r="229" spans="1:14" ht="20.100000000000001" customHeight="1">
      <c r="A229" s="3" t="s">
        <v>916</v>
      </c>
      <c r="B229" s="18">
        <v>45232</v>
      </c>
      <c r="C229" s="3" t="s">
        <v>917</v>
      </c>
      <c r="D229" s="3" t="s">
        <v>16</v>
      </c>
      <c r="E229" s="19">
        <v>2</v>
      </c>
      <c r="F229" s="20">
        <v>365.17</v>
      </c>
      <c r="G229" s="3" t="s">
        <v>537</v>
      </c>
      <c r="H229" s="3" t="s">
        <v>27</v>
      </c>
      <c r="I229" s="3" t="s">
        <v>35</v>
      </c>
      <c r="J229" s="3" t="s">
        <v>918</v>
      </c>
      <c r="K229" s="19">
        <v>4</v>
      </c>
      <c r="L229" s="3" t="s">
        <v>37</v>
      </c>
      <c r="M229" s="3" t="s">
        <v>45</v>
      </c>
      <c r="N229" s="20">
        <v>730.34</v>
      </c>
    </row>
    <row r="230" spans="1:14" ht="20.100000000000001" customHeight="1">
      <c r="A230" s="3" t="s">
        <v>919</v>
      </c>
      <c r="B230" s="18">
        <v>45063</v>
      </c>
      <c r="C230" s="3" t="s">
        <v>920</v>
      </c>
      <c r="D230" s="3" t="s">
        <v>41</v>
      </c>
      <c r="E230" s="19">
        <v>4</v>
      </c>
      <c r="F230" s="20">
        <v>385.92</v>
      </c>
      <c r="G230" s="3" t="s">
        <v>921</v>
      </c>
      <c r="H230" s="3" t="s">
        <v>34</v>
      </c>
      <c r="I230" s="3" t="s">
        <v>35</v>
      </c>
      <c r="J230" s="3" t="s">
        <v>922</v>
      </c>
      <c r="K230" s="19">
        <v>8</v>
      </c>
      <c r="L230" s="3"/>
      <c r="M230" s="3" t="s">
        <v>22</v>
      </c>
      <c r="N230" s="20">
        <v>1543.68</v>
      </c>
    </row>
    <row r="231" spans="1:14" ht="20.100000000000001" customHeight="1">
      <c r="A231" s="3" t="s">
        <v>923</v>
      </c>
      <c r="B231" s="18">
        <v>45744</v>
      </c>
      <c r="C231" s="3" t="s">
        <v>924</v>
      </c>
      <c r="D231" s="3" t="s">
        <v>32</v>
      </c>
      <c r="E231" s="19">
        <v>1</v>
      </c>
      <c r="F231" s="20">
        <v>562.61</v>
      </c>
      <c r="G231" s="3" t="s">
        <v>925</v>
      </c>
      <c r="H231" s="3" t="s">
        <v>34</v>
      </c>
      <c r="I231" s="3" t="s">
        <v>50</v>
      </c>
      <c r="J231" s="3" t="s">
        <v>926</v>
      </c>
      <c r="K231" s="19">
        <v>3</v>
      </c>
      <c r="L231" s="3" t="s">
        <v>81</v>
      </c>
      <c r="M231" s="3" t="s">
        <v>45</v>
      </c>
      <c r="N231" s="20">
        <v>562.61</v>
      </c>
    </row>
    <row r="232" spans="1:14" ht="20.100000000000001" customHeight="1">
      <c r="A232" s="3" t="s">
        <v>927</v>
      </c>
      <c r="B232" s="18">
        <v>45276</v>
      </c>
      <c r="C232" s="3" t="s">
        <v>928</v>
      </c>
      <c r="D232" s="3" t="s">
        <v>73</v>
      </c>
      <c r="E232" s="19">
        <v>4</v>
      </c>
      <c r="F232" s="20">
        <v>61.91</v>
      </c>
      <c r="G232" s="3" t="s">
        <v>929</v>
      </c>
      <c r="H232" s="3" t="s">
        <v>60</v>
      </c>
      <c r="I232" s="3" t="s">
        <v>50</v>
      </c>
      <c r="J232" s="3" t="s">
        <v>930</v>
      </c>
      <c r="K232" s="19">
        <v>6</v>
      </c>
      <c r="L232" s="3" t="s">
        <v>81</v>
      </c>
      <c r="M232" s="3" t="s">
        <v>38</v>
      </c>
      <c r="N232" s="20">
        <v>247.64</v>
      </c>
    </row>
    <row r="233" spans="1:14" ht="20.100000000000001" customHeight="1">
      <c r="A233" s="3" t="s">
        <v>931</v>
      </c>
      <c r="B233" s="18">
        <v>45235</v>
      </c>
      <c r="C233" s="3" t="s">
        <v>932</v>
      </c>
      <c r="D233" s="3" t="s">
        <v>25</v>
      </c>
      <c r="E233" s="19">
        <v>4</v>
      </c>
      <c r="F233" s="20">
        <v>41.9</v>
      </c>
      <c r="G233" s="3" t="s">
        <v>933</v>
      </c>
      <c r="H233" s="3" t="s">
        <v>60</v>
      </c>
      <c r="I233" s="3" t="s">
        <v>89</v>
      </c>
      <c r="J233" s="3" t="s">
        <v>934</v>
      </c>
      <c r="K233" s="19">
        <v>9</v>
      </c>
      <c r="L233" s="3" t="s">
        <v>37</v>
      </c>
      <c r="M233" s="3" t="s">
        <v>22</v>
      </c>
      <c r="N233" s="20">
        <v>167.6</v>
      </c>
    </row>
    <row r="234" spans="1:14" ht="20.100000000000001" customHeight="1">
      <c r="A234" s="3" t="s">
        <v>935</v>
      </c>
      <c r="B234" s="18">
        <v>45065</v>
      </c>
      <c r="C234" s="3" t="s">
        <v>936</v>
      </c>
      <c r="D234" s="3" t="s">
        <v>48</v>
      </c>
      <c r="E234" s="19">
        <v>4</v>
      </c>
      <c r="F234" s="20">
        <v>444.44</v>
      </c>
      <c r="G234" s="3" t="s">
        <v>937</v>
      </c>
      <c r="H234" s="3" t="s">
        <v>18</v>
      </c>
      <c r="I234" s="3" t="s">
        <v>35</v>
      </c>
      <c r="J234" s="3" t="s">
        <v>938</v>
      </c>
      <c r="K234" s="19">
        <v>8</v>
      </c>
      <c r="L234" s="3" t="s">
        <v>81</v>
      </c>
      <c r="M234" s="3" t="s">
        <v>76</v>
      </c>
      <c r="N234" s="20">
        <v>1777.76</v>
      </c>
    </row>
    <row r="235" spans="1:14" ht="20.100000000000001" customHeight="1">
      <c r="A235" s="3" t="s">
        <v>939</v>
      </c>
      <c r="B235" s="18">
        <v>45528</v>
      </c>
      <c r="C235" s="3" t="s">
        <v>940</v>
      </c>
      <c r="D235" s="3" t="s">
        <v>25</v>
      </c>
      <c r="E235" s="19">
        <v>3</v>
      </c>
      <c r="F235" s="20">
        <v>311.33</v>
      </c>
      <c r="G235" s="3" t="s">
        <v>347</v>
      </c>
      <c r="H235" s="3" t="s">
        <v>65</v>
      </c>
      <c r="I235" s="3" t="s">
        <v>35</v>
      </c>
      <c r="J235" s="3" t="s">
        <v>941</v>
      </c>
      <c r="K235" s="19">
        <v>3</v>
      </c>
      <c r="L235" s="3" t="s">
        <v>81</v>
      </c>
      <c r="M235" s="3" t="s">
        <v>22</v>
      </c>
      <c r="N235" s="20">
        <v>933.99</v>
      </c>
    </row>
    <row r="236" spans="1:14" ht="20.100000000000001" customHeight="1">
      <c r="A236" s="3" t="s">
        <v>942</v>
      </c>
      <c r="B236" s="18">
        <v>45622</v>
      </c>
      <c r="C236" s="3" t="s">
        <v>943</v>
      </c>
      <c r="D236" s="3" t="s">
        <v>48</v>
      </c>
      <c r="E236" s="19">
        <v>4</v>
      </c>
      <c r="F236" s="20">
        <v>236.41</v>
      </c>
      <c r="G236" s="3" t="s">
        <v>944</v>
      </c>
      <c r="H236" s="3" t="s">
        <v>18</v>
      </c>
      <c r="I236" s="3" t="s">
        <v>89</v>
      </c>
      <c r="J236" s="3" t="s">
        <v>945</v>
      </c>
      <c r="K236" s="19">
        <v>7</v>
      </c>
      <c r="L236" s="3" t="s">
        <v>21</v>
      </c>
      <c r="M236" s="3" t="s">
        <v>76</v>
      </c>
      <c r="N236" s="20">
        <v>945.64</v>
      </c>
    </row>
    <row r="237" spans="1:14" ht="20.100000000000001" customHeight="1">
      <c r="A237" s="3" t="s">
        <v>946</v>
      </c>
      <c r="B237" s="18">
        <v>44977</v>
      </c>
      <c r="C237" s="3" t="s">
        <v>947</v>
      </c>
      <c r="D237" s="3" t="s">
        <v>73</v>
      </c>
      <c r="E237" s="19">
        <v>1</v>
      </c>
      <c r="F237" s="20">
        <v>65.45</v>
      </c>
      <c r="G237" s="3" t="s">
        <v>948</v>
      </c>
      <c r="H237" s="3" t="s">
        <v>65</v>
      </c>
      <c r="I237" s="3" t="s">
        <v>89</v>
      </c>
      <c r="J237" s="3" t="s">
        <v>949</v>
      </c>
      <c r="K237" s="19">
        <v>2</v>
      </c>
      <c r="L237" s="3" t="s">
        <v>81</v>
      </c>
      <c r="M237" s="3" t="s">
        <v>76</v>
      </c>
      <c r="N237" s="20">
        <v>65.45</v>
      </c>
    </row>
    <row r="238" spans="1:14" ht="20.100000000000001" customHeight="1">
      <c r="A238" s="3" t="s">
        <v>950</v>
      </c>
      <c r="B238" s="18">
        <v>44927</v>
      </c>
      <c r="C238" s="3" t="s">
        <v>951</v>
      </c>
      <c r="D238" s="3" t="s">
        <v>16</v>
      </c>
      <c r="E238" s="19">
        <v>1</v>
      </c>
      <c r="F238" s="20">
        <v>318.81</v>
      </c>
      <c r="G238" s="3" t="s">
        <v>952</v>
      </c>
      <c r="H238" s="3" t="s">
        <v>18</v>
      </c>
      <c r="I238" s="3" t="s">
        <v>89</v>
      </c>
      <c r="J238" s="3" t="s">
        <v>953</v>
      </c>
      <c r="K238" s="19">
        <v>3</v>
      </c>
      <c r="L238" s="3" t="s">
        <v>81</v>
      </c>
      <c r="M238" s="3" t="s">
        <v>38</v>
      </c>
      <c r="N238" s="20">
        <v>318.81</v>
      </c>
    </row>
    <row r="239" spans="1:14" ht="20.100000000000001" customHeight="1">
      <c r="A239" s="3" t="s">
        <v>954</v>
      </c>
      <c r="B239" s="18">
        <v>45365</v>
      </c>
      <c r="C239" s="3" t="s">
        <v>955</v>
      </c>
      <c r="D239" s="3" t="s">
        <v>16</v>
      </c>
      <c r="E239" s="19">
        <v>3</v>
      </c>
      <c r="F239" s="20">
        <v>583.72</v>
      </c>
      <c r="G239" s="3" t="s">
        <v>956</v>
      </c>
      <c r="H239" s="3" t="s">
        <v>34</v>
      </c>
      <c r="I239" s="3" t="s">
        <v>19</v>
      </c>
      <c r="J239" s="3" t="s">
        <v>957</v>
      </c>
      <c r="K239" s="19">
        <v>5</v>
      </c>
      <c r="L239" s="3" t="s">
        <v>37</v>
      </c>
      <c r="M239" s="3" t="s">
        <v>45</v>
      </c>
      <c r="N239" s="20">
        <v>1751.16</v>
      </c>
    </row>
    <row r="240" spans="1:14" ht="20.100000000000001" customHeight="1">
      <c r="A240" s="3" t="s">
        <v>958</v>
      </c>
      <c r="B240" s="18">
        <v>45639</v>
      </c>
      <c r="C240" s="3" t="s">
        <v>959</v>
      </c>
      <c r="D240" s="3" t="s">
        <v>73</v>
      </c>
      <c r="E240" s="19">
        <v>4</v>
      </c>
      <c r="F240" s="20">
        <v>384.32</v>
      </c>
      <c r="G240" s="3" t="s">
        <v>960</v>
      </c>
      <c r="H240" s="3" t="s">
        <v>34</v>
      </c>
      <c r="I240" s="3" t="s">
        <v>89</v>
      </c>
      <c r="J240" s="3" t="s">
        <v>961</v>
      </c>
      <c r="K240" s="19">
        <v>6</v>
      </c>
      <c r="L240" s="3" t="s">
        <v>81</v>
      </c>
      <c r="M240" s="3" t="s">
        <v>76</v>
      </c>
      <c r="N240" s="20">
        <v>1537.28</v>
      </c>
    </row>
    <row r="241" spans="1:14" ht="20.100000000000001" customHeight="1">
      <c r="A241" s="3" t="s">
        <v>962</v>
      </c>
      <c r="B241" s="18">
        <v>45637</v>
      </c>
      <c r="C241" s="3" t="s">
        <v>963</v>
      </c>
      <c r="D241" s="3" t="s">
        <v>32</v>
      </c>
      <c r="E241" s="19">
        <v>3</v>
      </c>
      <c r="F241" s="20">
        <v>538.74</v>
      </c>
      <c r="G241" s="3" t="s">
        <v>964</v>
      </c>
      <c r="H241" s="3" t="s">
        <v>27</v>
      </c>
      <c r="I241" s="3" t="s">
        <v>19</v>
      </c>
      <c r="J241" s="3" t="s">
        <v>965</v>
      </c>
      <c r="K241" s="19">
        <v>6</v>
      </c>
      <c r="L241" s="3" t="s">
        <v>37</v>
      </c>
      <c r="M241" s="3" t="s">
        <v>38</v>
      </c>
      <c r="N241" s="20">
        <v>1616.22</v>
      </c>
    </row>
    <row r="242" spans="1:14" ht="20.100000000000001" customHeight="1">
      <c r="A242" s="3" t="s">
        <v>966</v>
      </c>
      <c r="B242" s="18">
        <v>45119</v>
      </c>
      <c r="C242" s="3" t="s">
        <v>967</v>
      </c>
      <c r="D242" s="3" t="s">
        <v>32</v>
      </c>
      <c r="E242" s="19">
        <v>1</v>
      </c>
      <c r="F242" s="20">
        <v>17.239999999999998</v>
      </c>
      <c r="G242" s="3" t="s">
        <v>968</v>
      </c>
      <c r="H242" s="3" t="s">
        <v>27</v>
      </c>
      <c r="I242" s="3" t="s">
        <v>89</v>
      </c>
      <c r="J242" s="3" t="s">
        <v>969</v>
      </c>
      <c r="K242" s="19">
        <v>2</v>
      </c>
      <c r="L242" s="3" t="s">
        <v>37</v>
      </c>
      <c r="M242" s="3" t="s">
        <v>22</v>
      </c>
      <c r="N242" s="20">
        <v>17.239999999999998</v>
      </c>
    </row>
    <row r="243" spans="1:14" ht="20.100000000000001" customHeight="1">
      <c r="A243" s="3" t="s">
        <v>970</v>
      </c>
      <c r="B243" s="18">
        <v>45062</v>
      </c>
      <c r="C243" s="3" t="s">
        <v>971</v>
      </c>
      <c r="D243" s="3" t="s">
        <v>41</v>
      </c>
      <c r="E243" s="19">
        <v>5</v>
      </c>
      <c r="F243" s="20">
        <v>615.66999999999996</v>
      </c>
      <c r="G243" s="3" t="s">
        <v>972</v>
      </c>
      <c r="H243" s="3" t="s">
        <v>27</v>
      </c>
      <c r="I243" s="3" t="s">
        <v>89</v>
      </c>
      <c r="J243" s="3" t="s">
        <v>973</v>
      </c>
      <c r="K243" s="19">
        <v>6</v>
      </c>
      <c r="L243" s="3" t="s">
        <v>21</v>
      </c>
      <c r="M243" s="3" t="s">
        <v>38</v>
      </c>
      <c r="N243" s="20">
        <v>3078.35</v>
      </c>
    </row>
    <row r="244" spans="1:14" ht="20.100000000000001" customHeight="1">
      <c r="A244" s="3" t="s">
        <v>974</v>
      </c>
      <c r="B244" s="18">
        <v>45055</v>
      </c>
      <c r="C244" s="3" t="s">
        <v>975</v>
      </c>
      <c r="D244" s="3" t="s">
        <v>48</v>
      </c>
      <c r="E244" s="19">
        <v>2</v>
      </c>
      <c r="F244" s="20">
        <v>219.1</v>
      </c>
      <c r="G244" s="3" t="s">
        <v>976</v>
      </c>
      <c r="H244" s="3" t="s">
        <v>27</v>
      </c>
      <c r="I244" s="3" t="s">
        <v>89</v>
      </c>
      <c r="J244" s="3" t="s">
        <v>977</v>
      </c>
      <c r="K244" s="19">
        <v>4</v>
      </c>
      <c r="L244" s="3" t="s">
        <v>21</v>
      </c>
      <c r="M244" s="3" t="s">
        <v>29</v>
      </c>
      <c r="N244" s="20">
        <v>438.2</v>
      </c>
    </row>
    <row r="245" spans="1:14" ht="20.100000000000001" customHeight="1">
      <c r="A245" s="3" t="s">
        <v>978</v>
      </c>
      <c r="B245" s="18">
        <v>45786</v>
      </c>
      <c r="C245" s="3" t="s">
        <v>979</v>
      </c>
      <c r="D245" s="3" t="s">
        <v>41</v>
      </c>
      <c r="E245" s="19">
        <v>2</v>
      </c>
      <c r="F245" s="20">
        <v>144.66</v>
      </c>
      <c r="G245" s="3" t="s">
        <v>980</v>
      </c>
      <c r="H245" s="3" t="s">
        <v>27</v>
      </c>
      <c r="I245" s="3" t="s">
        <v>35</v>
      </c>
      <c r="J245" s="3" t="s">
        <v>981</v>
      </c>
      <c r="K245" s="19">
        <v>7</v>
      </c>
      <c r="L245" s="3" t="s">
        <v>37</v>
      </c>
      <c r="M245" s="3" t="s">
        <v>76</v>
      </c>
      <c r="N245" s="20">
        <v>289.32</v>
      </c>
    </row>
    <row r="246" spans="1:14" ht="20.100000000000001" customHeight="1">
      <c r="A246" s="3" t="s">
        <v>982</v>
      </c>
      <c r="B246" s="18">
        <v>44973</v>
      </c>
      <c r="C246" s="3" t="s">
        <v>983</v>
      </c>
      <c r="D246" s="3" t="s">
        <v>73</v>
      </c>
      <c r="E246" s="19">
        <v>2</v>
      </c>
      <c r="F246" s="20">
        <v>317.77</v>
      </c>
      <c r="G246" s="3" t="s">
        <v>984</v>
      </c>
      <c r="H246" s="3" t="s">
        <v>18</v>
      </c>
      <c r="I246" s="3" t="s">
        <v>35</v>
      </c>
      <c r="J246" s="3" t="s">
        <v>985</v>
      </c>
      <c r="K246" s="19">
        <v>4</v>
      </c>
      <c r="L246" s="3" t="s">
        <v>81</v>
      </c>
      <c r="M246" s="3" t="s">
        <v>45</v>
      </c>
      <c r="N246" s="20">
        <v>635.54</v>
      </c>
    </row>
    <row r="247" spans="1:14" ht="20.100000000000001" customHeight="1">
      <c r="A247" s="3" t="s">
        <v>986</v>
      </c>
      <c r="B247" s="18">
        <v>45767</v>
      </c>
      <c r="C247" s="3" t="s">
        <v>987</v>
      </c>
      <c r="D247" s="3" t="s">
        <v>58</v>
      </c>
      <c r="E247" s="19">
        <v>1</v>
      </c>
      <c r="F247" s="20">
        <v>223.3</v>
      </c>
      <c r="G247" s="3" t="s">
        <v>988</v>
      </c>
      <c r="H247" s="3" t="s">
        <v>27</v>
      </c>
      <c r="I247" s="3" t="s">
        <v>43</v>
      </c>
      <c r="J247" s="3" t="s">
        <v>989</v>
      </c>
      <c r="K247" s="19">
        <v>1</v>
      </c>
      <c r="L247" s="3"/>
      <c r="M247" s="3" t="s">
        <v>45</v>
      </c>
      <c r="N247" s="20">
        <v>223.3</v>
      </c>
    </row>
    <row r="248" spans="1:14" ht="20.100000000000001" customHeight="1">
      <c r="A248" s="3" t="s">
        <v>990</v>
      </c>
      <c r="B248" s="18">
        <v>45534</v>
      </c>
      <c r="C248" s="3" t="s">
        <v>991</v>
      </c>
      <c r="D248" s="3" t="s">
        <v>73</v>
      </c>
      <c r="E248" s="19">
        <v>2</v>
      </c>
      <c r="F248" s="20">
        <v>342.11</v>
      </c>
      <c r="G248" s="3" t="s">
        <v>992</v>
      </c>
      <c r="H248" s="3" t="s">
        <v>60</v>
      </c>
      <c r="I248" s="3" t="s">
        <v>19</v>
      </c>
      <c r="J248" s="3" t="s">
        <v>993</v>
      </c>
      <c r="K248" s="19">
        <v>2</v>
      </c>
      <c r="L248" s="3" t="s">
        <v>81</v>
      </c>
      <c r="M248" s="3" t="s">
        <v>22</v>
      </c>
      <c r="N248" s="20">
        <v>684.22</v>
      </c>
    </row>
    <row r="249" spans="1:14" ht="20.100000000000001" customHeight="1">
      <c r="A249" s="3" t="s">
        <v>994</v>
      </c>
      <c r="B249" s="18">
        <v>45127</v>
      </c>
      <c r="C249" s="3" t="s">
        <v>995</v>
      </c>
      <c r="D249" s="3" t="s">
        <v>48</v>
      </c>
      <c r="E249" s="19">
        <v>2</v>
      </c>
      <c r="F249" s="20">
        <v>220.9</v>
      </c>
      <c r="G249" s="3" t="s">
        <v>996</v>
      </c>
      <c r="H249" s="3" t="s">
        <v>60</v>
      </c>
      <c r="I249" s="3" t="s">
        <v>19</v>
      </c>
      <c r="J249" s="3" t="s">
        <v>997</v>
      </c>
      <c r="K249" s="19">
        <v>4</v>
      </c>
      <c r="L249" s="3"/>
      <c r="M249" s="3" t="s">
        <v>38</v>
      </c>
      <c r="N249" s="20">
        <v>441.8</v>
      </c>
    </row>
    <row r="250" spans="1:14" ht="20.100000000000001" customHeight="1">
      <c r="A250" s="3" t="s">
        <v>998</v>
      </c>
      <c r="B250" s="18">
        <v>45109</v>
      </c>
      <c r="C250" s="3" t="s">
        <v>999</v>
      </c>
      <c r="D250" s="3" t="s">
        <v>58</v>
      </c>
      <c r="E250" s="19">
        <v>1</v>
      </c>
      <c r="F250" s="20">
        <v>670.54</v>
      </c>
      <c r="G250" s="3" t="s">
        <v>1000</v>
      </c>
      <c r="H250" s="3" t="s">
        <v>65</v>
      </c>
      <c r="I250" s="3" t="s">
        <v>19</v>
      </c>
      <c r="J250" s="3" t="s">
        <v>1001</v>
      </c>
      <c r="K250" s="19">
        <v>6</v>
      </c>
      <c r="L250" s="3" t="s">
        <v>37</v>
      </c>
      <c r="M250" s="3" t="s">
        <v>29</v>
      </c>
      <c r="N250" s="20">
        <v>670.54</v>
      </c>
    </row>
    <row r="251" spans="1:14" ht="20.100000000000001" customHeight="1">
      <c r="A251" s="3" t="s">
        <v>1002</v>
      </c>
      <c r="B251" s="18">
        <v>45329</v>
      </c>
      <c r="C251" s="3" t="s">
        <v>1003</v>
      </c>
      <c r="D251" s="3" t="s">
        <v>48</v>
      </c>
      <c r="E251" s="19">
        <v>1</v>
      </c>
      <c r="F251" s="20">
        <v>546.19000000000005</v>
      </c>
      <c r="G251" s="3" t="s">
        <v>1004</v>
      </c>
      <c r="H251" s="3" t="s">
        <v>65</v>
      </c>
      <c r="I251" s="3" t="s">
        <v>89</v>
      </c>
      <c r="J251" s="3" t="s">
        <v>1005</v>
      </c>
      <c r="K251" s="19">
        <v>5</v>
      </c>
      <c r="L251" s="3" t="s">
        <v>37</v>
      </c>
      <c r="M251" s="3" t="s">
        <v>29</v>
      </c>
      <c r="N251" s="20">
        <v>546.19000000000005</v>
      </c>
    </row>
    <row r="252" spans="1:14" ht="20.100000000000001" customHeight="1">
      <c r="A252" s="3" t="s">
        <v>1006</v>
      </c>
      <c r="B252" s="18">
        <v>45021</v>
      </c>
      <c r="C252" s="3" t="s">
        <v>1007</v>
      </c>
      <c r="D252" s="3" t="s">
        <v>73</v>
      </c>
      <c r="E252" s="19">
        <v>3</v>
      </c>
      <c r="F252" s="20">
        <v>42.95</v>
      </c>
      <c r="G252" s="3" t="s">
        <v>387</v>
      </c>
      <c r="H252" s="3" t="s">
        <v>60</v>
      </c>
      <c r="I252" s="3" t="s">
        <v>43</v>
      </c>
      <c r="J252" s="3" t="s">
        <v>1008</v>
      </c>
      <c r="K252" s="19">
        <v>8</v>
      </c>
      <c r="L252" s="3" t="s">
        <v>21</v>
      </c>
      <c r="M252" s="3" t="s">
        <v>38</v>
      </c>
      <c r="N252" s="20">
        <v>128.85</v>
      </c>
    </row>
    <row r="253" spans="1:14" ht="20.100000000000001" customHeight="1">
      <c r="A253" s="3" t="s">
        <v>1009</v>
      </c>
      <c r="B253" s="18">
        <v>45792</v>
      </c>
      <c r="C253" s="3" t="s">
        <v>1010</v>
      </c>
      <c r="D253" s="3" t="s">
        <v>16</v>
      </c>
      <c r="E253" s="19">
        <v>4</v>
      </c>
      <c r="F253" s="20">
        <v>14.69</v>
      </c>
      <c r="G253" s="3" t="s">
        <v>1011</v>
      </c>
      <c r="H253" s="3" t="s">
        <v>65</v>
      </c>
      <c r="I253" s="3" t="s">
        <v>35</v>
      </c>
      <c r="J253" s="3" t="s">
        <v>1012</v>
      </c>
      <c r="K253" s="19">
        <v>9</v>
      </c>
      <c r="L253" s="3"/>
      <c r="M253" s="3" t="s">
        <v>38</v>
      </c>
      <c r="N253" s="20">
        <v>58.76</v>
      </c>
    </row>
    <row r="254" spans="1:14" ht="20.100000000000001" customHeight="1">
      <c r="A254" s="3" t="s">
        <v>1013</v>
      </c>
      <c r="B254" s="18">
        <v>45555</v>
      </c>
      <c r="C254" s="3" t="s">
        <v>1014</v>
      </c>
      <c r="D254" s="3" t="s">
        <v>25</v>
      </c>
      <c r="E254" s="19">
        <v>4</v>
      </c>
      <c r="F254" s="20">
        <v>668.36</v>
      </c>
      <c r="G254" s="3" t="s">
        <v>1015</v>
      </c>
      <c r="H254" s="3" t="s">
        <v>60</v>
      </c>
      <c r="I254" s="3" t="s">
        <v>35</v>
      </c>
      <c r="J254" s="3" t="s">
        <v>1016</v>
      </c>
      <c r="K254" s="19">
        <v>5</v>
      </c>
      <c r="L254" s="3" t="s">
        <v>37</v>
      </c>
      <c r="M254" s="3" t="s">
        <v>45</v>
      </c>
      <c r="N254" s="20">
        <v>2673.44</v>
      </c>
    </row>
    <row r="255" spans="1:14" ht="20.100000000000001" customHeight="1">
      <c r="A255" s="3" t="s">
        <v>1017</v>
      </c>
      <c r="B255" s="18">
        <v>45374</v>
      </c>
      <c r="C255" s="3" t="s">
        <v>1018</v>
      </c>
      <c r="D255" s="3" t="s">
        <v>41</v>
      </c>
      <c r="E255" s="19">
        <v>4</v>
      </c>
      <c r="F255" s="20">
        <v>413.74</v>
      </c>
      <c r="G255" s="3" t="s">
        <v>434</v>
      </c>
      <c r="H255" s="3" t="s">
        <v>60</v>
      </c>
      <c r="I255" s="3" t="s">
        <v>43</v>
      </c>
      <c r="J255" s="3" t="s">
        <v>1019</v>
      </c>
      <c r="K255" s="19">
        <v>7</v>
      </c>
      <c r="L255" s="3" t="s">
        <v>37</v>
      </c>
      <c r="M255" s="3" t="s">
        <v>22</v>
      </c>
      <c r="N255" s="20">
        <v>1654.96</v>
      </c>
    </row>
    <row r="256" spans="1:14" ht="20.100000000000001" customHeight="1">
      <c r="A256" s="3" t="s">
        <v>1020</v>
      </c>
      <c r="B256" s="18">
        <v>45286</v>
      </c>
      <c r="C256" s="3" t="s">
        <v>1021</v>
      </c>
      <c r="D256" s="3" t="s">
        <v>16</v>
      </c>
      <c r="E256" s="19">
        <v>3</v>
      </c>
      <c r="F256" s="20">
        <v>263.19</v>
      </c>
      <c r="G256" s="3" t="s">
        <v>960</v>
      </c>
      <c r="H256" s="3" t="s">
        <v>27</v>
      </c>
      <c r="I256" s="3" t="s">
        <v>50</v>
      </c>
      <c r="J256" s="3" t="s">
        <v>1022</v>
      </c>
      <c r="K256" s="19">
        <v>5</v>
      </c>
      <c r="L256" s="3"/>
      <c r="M256" s="3" t="s">
        <v>22</v>
      </c>
      <c r="N256" s="20">
        <v>789.56999999999994</v>
      </c>
    </row>
    <row r="257" spans="1:14" ht="20.100000000000001" customHeight="1">
      <c r="A257" s="3" t="s">
        <v>1023</v>
      </c>
      <c r="B257" s="18">
        <v>45425</v>
      </c>
      <c r="C257" s="3" t="s">
        <v>1024</v>
      </c>
      <c r="D257" s="3" t="s">
        <v>16</v>
      </c>
      <c r="E257" s="19">
        <v>1</v>
      </c>
      <c r="F257" s="20">
        <v>263.95999999999998</v>
      </c>
      <c r="G257" s="3" t="s">
        <v>715</v>
      </c>
      <c r="H257" s="3" t="s">
        <v>60</v>
      </c>
      <c r="I257" s="3" t="s">
        <v>43</v>
      </c>
      <c r="J257" s="3" t="s">
        <v>1025</v>
      </c>
      <c r="K257" s="19">
        <v>2</v>
      </c>
      <c r="L257" s="3" t="s">
        <v>21</v>
      </c>
      <c r="M257" s="3" t="s">
        <v>76</v>
      </c>
      <c r="N257" s="20">
        <v>263.95999999999998</v>
      </c>
    </row>
    <row r="258" spans="1:14" ht="20.100000000000001" customHeight="1">
      <c r="A258" s="3" t="s">
        <v>1026</v>
      </c>
      <c r="B258" s="18">
        <v>45838</v>
      </c>
      <c r="C258" s="3" t="s">
        <v>1027</v>
      </c>
      <c r="D258" s="3" t="s">
        <v>41</v>
      </c>
      <c r="E258" s="19">
        <v>5</v>
      </c>
      <c r="F258" s="20">
        <v>75.81</v>
      </c>
      <c r="G258" s="3" t="s">
        <v>1028</v>
      </c>
      <c r="H258" s="3" t="s">
        <v>60</v>
      </c>
      <c r="I258" s="3" t="s">
        <v>43</v>
      </c>
      <c r="J258" s="3" t="s">
        <v>1029</v>
      </c>
      <c r="K258" s="19">
        <v>10</v>
      </c>
      <c r="L258" s="3" t="s">
        <v>81</v>
      </c>
      <c r="M258" s="3" t="s">
        <v>22</v>
      </c>
      <c r="N258" s="20">
        <v>379.05</v>
      </c>
    </row>
    <row r="259" spans="1:14" ht="20.100000000000001" customHeight="1">
      <c r="A259" s="3" t="s">
        <v>1030</v>
      </c>
      <c r="B259" s="18">
        <v>45405</v>
      </c>
      <c r="C259" s="3" t="s">
        <v>1031</v>
      </c>
      <c r="D259" s="3" t="s">
        <v>25</v>
      </c>
      <c r="E259" s="19">
        <v>1</v>
      </c>
      <c r="F259" s="20">
        <v>406.22</v>
      </c>
      <c r="G259" s="3" t="s">
        <v>1032</v>
      </c>
      <c r="H259" s="3" t="s">
        <v>34</v>
      </c>
      <c r="I259" s="3" t="s">
        <v>35</v>
      </c>
      <c r="J259" s="3" t="s">
        <v>1033</v>
      </c>
      <c r="K259" s="19">
        <v>5</v>
      </c>
      <c r="L259" s="3" t="s">
        <v>21</v>
      </c>
      <c r="M259" s="3" t="s">
        <v>29</v>
      </c>
      <c r="N259" s="20">
        <v>406.22</v>
      </c>
    </row>
    <row r="260" spans="1:14" ht="20.100000000000001" customHeight="1">
      <c r="A260" s="3" t="s">
        <v>1034</v>
      </c>
      <c r="B260" s="18">
        <v>45348</v>
      </c>
      <c r="C260" s="3" t="s">
        <v>1035</v>
      </c>
      <c r="D260" s="3" t="s">
        <v>32</v>
      </c>
      <c r="E260" s="19">
        <v>2</v>
      </c>
      <c r="F260" s="20">
        <v>103.41</v>
      </c>
      <c r="G260" s="3" t="s">
        <v>1036</v>
      </c>
      <c r="H260" s="3" t="s">
        <v>27</v>
      </c>
      <c r="I260" s="3" t="s">
        <v>19</v>
      </c>
      <c r="J260" s="3" t="s">
        <v>1037</v>
      </c>
      <c r="K260" s="19">
        <v>2</v>
      </c>
      <c r="L260" s="3" t="s">
        <v>37</v>
      </c>
      <c r="M260" s="3" t="s">
        <v>29</v>
      </c>
      <c r="N260" s="20">
        <v>206.82</v>
      </c>
    </row>
    <row r="261" spans="1:14" ht="20.100000000000001" customHeight="1">
      <c r="A261" s="3" t="s">
        <v>1038</v>
      </c>
      <c r="B261" s="18">
        <v>45088</v>
      </c>
      <c r="C261" s="3" t="s">
        <v>1039</v>
      </c>
      <c r="D261" s="3" t="s">
        <v>41</v>
      </c>
      <c r="E261" s="19">
        <v>4</v>
      </c>
      <c r="F261" s="20">
        <v>435.12</v>
      </c>
      <c r="G261" s="3" t="s">
        <v>565</v>
      </c>
      <c r="H261" s="3" t="s">
        <v>34</v>
      </c>
      <c r="I261" s="3" t="s">
        <v>50</v>
      </c>
      <c r="J261" s="3" t="s">
        <v>1040</v>
      </c>
      <c r="K261" s="19">
        <v>9</v>
      </c>
      <c r="L261" s="3" t="s">
        <v>21</v>
      </c>
      <c r="M261" s="3" t="s">
        <v>22</v>
      </c>
      <c r="N261" s="20">
        <v>1740.48</v>
      </c>
    </row>
    <row r="262" spans="1:14" ht="20.100000000000001" customHeight="1">
      <c r="A262" s="3" t="s">
        <v>1041</v>
      </c>
      <c r="B262" s="18">
        <v>45063</v>
      </c>
      <c r="C262" s="3" t="s">
        <v>1042</v>
      </c>
      <c r="D262" s="3" t="s">
        <v>16</v>
      </c>
      <c r="E262" s="19">
        <v>2</v>
      </c>
      <c r="F262" s="20">
        <v>407.79</v>
      </c>
      <c r="G262" s="3" t="s">
        <v>1043</v>
      </c>
      <c r="H262" s="3" t="s">
        <v>18</v>
      </c>
      <c r="I262" s="3" t="s">
        <v>19</v>
      </c>
      <c r="J262" s="3" t="s">
        <v>1044</v>
      </c>
      <c r="K262" s="19">
        <v>3</v>
      </c>
      <c r="L262" s="3"/>
      <c r="M262" s="3" t="s">
        <v>76</v>
      </c>
      <c r="N262" s="20">
        <v>815.58</v>
      </c>
    </row>
    <row r="263" spans="1:14" ht="20.100000000000001" customHeight="1">
      <c r="A263" s="3" t="s">
        <v>1045</v>
      </c>
      <c r="B263" s="18">
        <v>45805</v>
      </c>
      <c r="C263" s="3" t="s">
        <v>1046</v>
      </c>
      <c r="D263" s="3" t="s">
        <v>25</v>
      </c>
      <c r="E263" s="19">
        <v>5</v>
      </c>
      <c r="F263" s="20">
        <v>173.65</v>
      </c>
      <c r="G263" s="3" t="s">
        <v>1047</v>
      </c>
      <c r="H263" s="3" t="s">
        <v>60</v>
      </c>
      <c r="I263" s="3" t="s">
        <v>50</v>
      </c>
      <c r="J263" s="3" t="s">
        <v>1048</v>
      </c>
      <c r="K263" s="19">
        <v>9</v>
      </c>
      <c r="L263" s="3" t="s">
        <v>21</v>
      </c>
      <c r="M263" s="3" t="s">
        <v>38</v>
      </c>
      <c r="N263" s="20">
        <v>868.25</v>
      </c>
    </row>
    <row r="264" spans="1:14" ht="20.100000000000001" customHeight="1">
      <c r="A264" s="3" t="s">
        <v>1049</v>
      </c>
      <c r="B264" s="18">
        <v>44936</v>
      </c>
      <c r="C264" s="3" t="s">
        <v>1050</v>
      </c>
      <c r="D264" s="3" t="s">
        <v>25</v>
      </c>
      <c r="E264" s="19">
        <v>4</v>
      </c>
      <c r="F264" s="20">
        <v>249.07</v>
      </c>
      <c r="G264" s="3" t="s">
        <v>572</v>
      </c>
      <c r="H264" s="3" t="s">
        <v>34</v>
      </c>
      <c r="I264" s="3" t="s">
        <v>43</v>
      </c>
      <c r="J264" s="3" t="s">
        <v>1051</v>
      </c>
      <c r="K264" s="19">
        <v>5</v>
      </c>
      <c r="L264" s="3" t="s">
        <v>81</v>
      </c>
      <c r="M264" s="3" t="s">
        <v>29</v>
      </c>
      <c r="N264" s="20">
        <v>996.28</v>
      </c>
    </row>
    <row r="265" spans="1:14" ht="20.100000000000001" customHeight="1">
      <c r="A265" s="3" t="s">
        <v>1052</v>
      </c>
      <c r="B265" s="18">
        <v>45010</v>
      </c>
      <c r="C265" s="3" t="s">
        <v>1053</v>
      </c>
      <c r="D265" s="3" t="s">
        <v>25</v>
      </c>
      <c r="E265" s="19">
        <v>4</v>
      </c>
      <c r="F265" s="20">
        <v>434.85</v>
      </c>
      <c r="G265" s="3" t="s">
        <v>1054</v>
      </c>
      <c r="H265" s="3" t="s">
        <v>34</v>
      </c>
      <c r="I265" s="3" t="s">
        <v>89</v>
      </c>
      <c r="J265" s="3" t="s">
        <v>1055</v>
      </c>
      <c r="K265" s="19">
        <v>4</v>
      </c>
      <c r="L265" s="3" t="s">
        <v>81</v>
      </c>
      <c r="M265" s="3" t="s">
        <v>76</v>
      </c>
      <c r="N265" s="20">
        <v>1739.4</v>
      </c>
    </row>
    <row r="266" spans="1:14" ht="20.100000000000001" customHeight="1">
      <c r="A266" s="3" t="s">
        <v>1056</v>
      </c>
      <c r="B266" s="18">
        <v>45507</v>
      </c>
      <c r="C266" s="3" t="s">
        <v>1057</v>
      </c>
      <c r="D266" s="3" t="s">
        <v>32</v>
      </c>
      <c r="E266" s="19">
        <v>1</v>
      </c>
      <c r="F266" s="20">
        <v>436.77</v>
      </c>
      <c r="G266" s="3" t="s">
        <v>1058</v>
      </c>
      <c r="H266" s="3" t="s">
        <v>65</v>
      </c>
      <c r="I266" s="3" t="s">
        <v>43</v>
      </c>
      <c r="J266" s="3" t="s">
        <v>1059</v>
      </c>
      <c r="K266" s="19">
        <v>5</v>
      </c>
      <c r="L266" s="3" t="s">
        <v>37</v>
      </c>
      <c r="M266" s="3" t="s">
        <v>76</v>
      </c>
      <c r="N266" s="20">
        <v>436.77</v>
      </c>
    </row>
    <row r="267" spans="1:14" ht="20.100000000000001" customHeight="1">
      <c r="A267" s="3" t="s">
        <v>1060</v>
      </c>
      <c r="B267" s="18">
        <v>45282</v>
      </c>
      <c r="C267" s="3" t="s">
        <v>1061</v>
      </c>
      <c r="D267" s="3" t="s">
        <v>48</v>
      </c>
      <c r="E267" s="19">
        <v>1</v>
      </c>
      <c r="F267" s="20">
        <v>572.13</v>
      </c>
      <c r="G267" s="3" t="s">
        <v>1062</v>
      </c>
      <c r="H267" s="3" t="s">
        <v>18</v>
      </c>
      <c r="I267" s="3" t="s">
        <v>35</v>
      </c>
      <c r="J267" s="3" t="s">
        <v>1063</v>
      </c>
      <c r="K267" s="19">
        <v>4</v>
      </c>
      <c r="L267" s="3" t="s">
        <v>21</v>
      </c>
      <c r="M267" s="3" t="s">
        <v>76</v>
      </c>
      <c r="N267" s="20">
        <v>572.13</v>
      </c>
    </row>
    <row r="268" spans="1:14" ht="20.100000000000001" customHeight="1">
      <c r="A268" s="3" t="s">
        <v>1064</v>
      </c>
      <c r="B268" s="18">
        <v>45451</v>
      </c>
      <c r="C268" s="3" t="s">
        <v>1065</v>
      </c>
      <c r="D268" s="3" t="s">
        <v>41</v>
      </c>
      <c r="E268" s="19">
        <v>4</v>
      </c>
      <c r="F268" s="20">
        <v>583.07000000000005</v>
      </c>
      <c r="G268" s="3" t="s">
        <v>1066</v>
      </c>
      <c r="H268" s="3" t="s">
        <v>34</v>
      </c>
      <c r="I268" s="3" t="s">
        <v>35</v>
      </c>
      <c r="J268" s="3" t="s">
        <v>1067</v>
      </c>
      <c r="K268" s="19">
        <v>6</v>
      </c>
      <c r="L268" s="3" t="s">
        <v>37</v>
      </c>
      <c r="M268" s="3" t="s">
        <v>29</v>
      </c>
      <c r="N268" s="20">
        <v>2332.2800000000002</v>
      </c>
    </row>
    <row r="269" spans="1:14" ht="20.100000000000001" customHeight="1">
      <c r="A269" s="3" t="s">
        <v>1068</v>
      </c>
      <c r="B269" s="18">
        <v>45764</v>
      </c>
      <c r="C269" s="3" t="s">
        <v>1069</v>
      </c>
      <c r="D269" s="3" t="s">
        <v>41</v>
      </c>
      <c r="E269" s="19">
        <v>5</v>
      </c>
      <c r="F269" s="20">
        <v>468.51</v>
      </c>
      <c r="G269" s="3" t="s">
        <v>1070</v>
      </c>
      <c r="H269" s="3" t="s">
        <v>18</v>
      </c>
      <c r="I269" s="3" t="s">
        <v>50</v>
      </c>
      <c r="J269" s="3" t="s">
        <v>1071</v>
      </c>
      <c r="K269" s="19">
        <v>9</v>
      </c>
      <c r="L269" s="3"/>
      <c r="M269" s="3" t="s">
        <v>45</v>
      </c>
      <c r="N269" s="20">
        <v>2342.5500000000002</v>
      </c>
    </row>
    <row r="270" spans="1:14" ht="20.100000000000001" customHeight="1">
      <c r="A270" s="3" t="s">
        <v>1072</v>
      </c>
      <c r="B270" s="18">
        <v>45149</v>
      </c>
      <c r="C270" s="3" t="s">
        <v>1073</v>
      </c>
      <c r="D270" s="3" t="s">
        <v>25</v>
      </c>
      <c r="E270" s="19">
        <v>2</v>
      </c>
      <c r="F270" s="20">
        <v>423.88</v>
      </c>
      <c r="G270" s="3" t="s">
        <v>1074</v>
      </c>
      <c r="H270" s="3" t="s">
        <v>18</v>
      </c>
      <c r="I270" s="3" t="s">
        <v>50</v>
      </c>
      <c r="J270" s="3" t="s">
        <v>1075</v>
      </c>
      <c r="K270" s="19">
        <v>7</v>
      </c>
      <c r="L270" s="3" t="s">
        <v>21</v>
      </c>
      <c r="M270" s="3" t="s">
        <v>29</v>
      </c>
      <c r="N270" s="20">
        <v>847.76</v>
      </c>
    </row>
    <row r="271" spans="1:14" ht="20.100000000000001" customHeight="1">
      <c r="A271" s="3" t="s">
        <v>1076</v>
      </c>
      <c r="B271" s="18">
        <v>45255</v>
      </c>
      <c r="C271" s="3" t="s">
        <v>1077</v>
      </c>
      <c r="D271" s="3" t="s">
        <v>32</v>
      </c>
      <c r="E271" s="19">
        <v>4</v>
      </c>
      <c r="F271" s="20">
        <v>663.67</v>
      </c>
      <c r="G271" s="3" t="s">
        <v>327</v>
      </c>
      <c r="H271" s="3" t="s">
        <v>34</v>
      </c>
      <c r="I271" s="3" t="s">
        <v>89</v>
      </c>
      <c r="J271" s="3" t="s">
        <v>1078</v>
      </c>
      <c r="K271" s="19">
        <v>7</v>
      </c>
      <c r="L271" s="3" t="s">
        <v>37</v>
      </c>
      <c r="M271" s="3" t="s">
        <v>76</v>
      </c>
      <c r="N271" s="20">
        <v>2654.68</v>
      </c>
    </row>
    <row r="272" spans="1:14" ht="20.100000000000001" customHeight="1">
      <c r="A272" s="3" t="s">
        <v>1079</v>
      </c>
      <c r="B272" s="18">
        <v>45081</v>
      </c>
      <c r="C272" s="3" t="s">
        <v>1080</v>
      </c>
      <c r="D272" s="3" t="s">
        <v>48</v>
      </c>
      <c r="E272" s="19">
        <v>4</v>
      </c>
      <c r="F272" s="20">
        <v>309.91000000000003</v>
      </c>
      <c r="G272" s="3" t="s">
        <v>1081</v>
      </c>
      <c r="H272" s="3" t="s">
        <v>18</v>
      </c>
      <c r="I272" s="3" t="s">
        <v>19</v>
      </c>
      <c r="J272" s="3" t="s">
        <v>1082</v>
      </c>
      <c r="K272" s="19">
        <v>5</v>
      </c>
      <c r="L272" s="3" t="s">
        <v>81</v>
      </c>
      <c r="M272" s="3" t="s">
        <v>76</v>
      </c>
      <c r="N272" s="20">
        <v>1239.6400000000001</v>
      </c>
    </row>
    <row r="273" spans="1:14" ht="20.100000000000001" customHeight="1">
      <c r="A273" s="3" t="s">
        <v>1083</v>
      </c>
      <c r="B273" s="18">
        <v>45013</v>
      </c>
      <c r="C273" s="3" t="s">
        <v>1084</v>
      </c>
      <c r="D273" s="3" t="s">
        <v>16</v>
      </c>
      <c r="E273" s="19">
        <v>1</v>
      </c>
      <c r="F273" s="20">
        <v>542.07000000000005</v>
      </c>
      <c r="G273" s="3" t="s">
        <v>1085</v>
      </c>
      <c r="H273" s="3" t="s">
        <v>65</v>
      </c>
      <c r="I273" s="3" t="s">
        <v>19</v>
      </c>
      <c r="J273" s="3" t="s">
        <v>1086</v>
      </c>
      <c r="K273" s="19">
        <v>6</v>
      </c>
      <c r="L273" s="3" t="s">
        <v>81</v>
      </c>
      <c r="M273" s="3" t="s">
        <v>29</v>
      </c>
      <c r="N273" s="20">
        <v>542.07000000000005</v>
      </c>
    </row>
    <row r="274" spans="1:14" ht="20.100000000000001" customHeight="1">
      <c r="A274" s="3" t="s">
        <v>1087</v>
      </c>
      <c r="B274" s="18">
        <v>45188</v>
      </c>
      <c r="C274" s="3" t="s">
        <v>1088</v>
      </c>
      <c r="D274" s="3" t="s">
        <v>41</v>
      </c>
      <c r="E274" s="19">
        <v>2</v>
      </c>
      <c r="F274" s="20">
        <v>399.32</v>
      </c>
      <c r="G274" s="3" t="s">
        <v>1089</v>
      </c>
      <c r="H274" s="3" t="s">
        <v>27</v>
      </c>
      <c r="I274" s="3" t="s">
        <v>89</v>
      </c>
      <c r="J274" s="3" t="s">
        <v>1090</v>
      </c>
      <c r="K274" s="19">
        <v>6</v>
      </c>
      <c r="L274" s="3" t="s">
        <v>81</v>
      </c>
      <c r="M274" s="3" t="s">
        <v>22</v>
      </c>
      <c r="N274" s="20">
        <v>798.64</v>
      </c>
    </row>
    <row r="275" spans="1:14" ht="20.100000000000001" customHeight="1">
      <c r="A275" s="3" t="s">
        <v>1091</v>
      </c>
      <c r="B275" s="18">
        <v>45592</v>
      </c>
      <c r="C275" s="3" t="s">
        <v>1092</v>
      </c>
      <c r="D275" s="3" t="s">
        <v>32</v>
      </c>
      <c r="E275" s="19">
        <v>2</v>
      </c>
      <c r="F275" s="20">
        <v>238.25</v>
      </c>
      <c r="G275" s="3" t="s">
        <v>1093</v>
      </c>
      <c r="H275" s="3" t="s">
        <v>27</v>
      </c>
      <c r="I275" s="3" t="s">
        <v>35</v>
      </c>
      <c r="J275" s="3" t="s">
        <v>1094</v>
      </c>
      <c r="K275" s="19">
        <v>7</v>
      </c>
      <c r="L275" s="3" t="s">
        <v>37</v>
      </c>
      <c r="M275" s="3" t="s">
        <v>38</v>
      </c>
      <c r="N275" s="20">
        <v>476.5</v>
      </c>
    </row>
    <row r="276" spans="1:14" ht="20.100000000000001" customHeight="1">
      <c r="A276" s="3" t="s">
        <v>1095</v>
      </c>
      <c r="B276" s="18">
        <v>44961</v>
      </c>
      <c r="C276" s="3" t="s">
        <v>1096</v>
      </c>
      <c r="D276" s="3" t="s">
        <v>25</v>
      </c>
      <c r="E276" s="19">
        <v>2</v>
      </c>
      <c r="F276" s="20">
        <v>182.4</v>
      </c>
      <c r="G276" s="3" t="s">
        <v>1097</v>
      </c>
      <c r="H276" s="3" t="s">
        <v>60</v>
      </c>
      <c r="I276" s="3" t="s">
        <v>35</v>
      </c>
      <c r="J276" s="3" t="s">
        <v>1098</v>
      </c>
      <c r="K276" s="19">
        <v>5</v>
      </c>
      <c r="L276" s="3" t="s">
        <v>21</v>
      </c>
      <c r="M276" s="3" t="s">
        <v>29</v>
      </c>
      <c r="N276" s="20">
        <v>364.8</v>
      </c>
    </row>
    <row r="277" spans="1:14" ht="20.100000000000001" customHeight="1">
      <c r="A277" s="3" t="s">
        <v>1099</v>
      </c>
      <c r="B277" s="18">
        <v>45234</v>
      </c>
      <c r="C277" s="3" t="s">
        <v>1100</v>
      </c>
      <c r="D277" s="3" t="s">
        <v>41</v>
      </c>
      <c r="E277" s="19">
        <v>2</v>
      </c>
      <c r="F277" s="20">
        <v>65.069999999999993</v>
      </c>
      <c r="G277" s="3" t="s">
        <v>1101</v>
      </c>
      <c r="H277" s="3" t="s">
        <v>34</v>
      </c>
      <c r="I277" s="3" t="s">
        <v>35</v>
      </c>
      <c r="J277" s="3" t="s">
        <v>1102</v>
      </c>
      <c r="K277" s="19">
        <v>4</v>
      </c>
      <c r="L277" s="3" t="s">
        <v>21</v>
      </c>
      <c r="M277" s="3" t="s">
        <v>76</v>
      </c>
      <c r="N277" s="20">
        <v>130.13999999999999</v>
      </c>
    </row>
    <row r="278" spans="1:14" ht="20.100000000000001" customHeight="1">
      <c r="A278" s="3" t="s">
        <v>1103</v>
      </c>
      <c r="B278" s="18">
        <v>45745</v>
      </c>
      <c r="C278" s="3" t="s">
        <v>1104</v>
      </c>
      <c r="D278" s="3" t="s">
        <v>48</v>
      </c>
      <c r="E278" s="19">
        <v>2</v>
      </c>
      <c r="F278" s="20">
        <v>600.57000000000005</v>
      </c>
      <c r="G278" s="3" t="s">
        <v>1105</v>
      </c>
      <c r="H278" s="3" t="s">
        <v>18</v>
      </c>
      <c r="I278" s="3" t="s">
        <v>43</v>
      </c>
      <c r="J278" s="3" t="s">
        <v>1106</v>
      </c>
      <c r="K278" s="19">
        <v>3</v>
      </c>
      <c r="L278" s="3" t="s">
        <v>81</v>
      </c>
      <c r="M278" s="3" t="s">
        <v>22</v>
      </c>
      <c r="N278" s="20">
        <v>1201.1400000000001</v>
      </c>
    </row>
    <row r="279" spans="1:14" ht="20.100000000000001" customHeight="1">
      <c r="A279" s="3" t="s">
        <v>1107</v>
      </c>
      <c r="B279" s="18">
        <v>45544</v>
      </c>
      <c r="C279" s="3" t="s">
        <v>1108</v>
      </c>
      <c r="D279" s="3" t="s">
        <v>41</v>
      </c>
      <c r="E279" s="19">
        <v>5</v>
      </c>
      <c r="F279" s="20">
        <v>90.92</v>
      </c>
      <c r="G279" s="3" t="s">
        <v>1109</v>
      </c>
      <c r="H279" s="3" t="s">
        <v>34</v>
      </c>
      <c r="I279" s="3" t="s">
        <v>50</v>
      </c>
      <c r="J279" s="3" t="s">
        <v>1110</v>
      </c>
      <c r="K279" s="19">
        <v>9</v>
      </c>
      <c r="L279" s="3" t="s">
        <v>21</v>
      </c>
      <c r="M279" s="3" t="s">
        <v>45</v>
      </c>
      <c r="N279" s="20">
        <v>454.6</v>
      </c>
    </row>
    <row r="280" spans="1:14" ht="20.100000000000001" customHeight="1">
      <c r="A280" s="3" t="s">
        <v>1111</v>
      </c>
      <c r="B280" s="18">
        <v>45614</v>
      </c>
      <c r="C280" s="3" t="s">
        <v>1112</v>
      </c>
      <c r="D280" s="3" t="s">
        <v>58</v>
      </c>
      <c r="E280" s="19">
        <v>5</v>
      </c>
      <c r="F280" s="20">
        <v>362.46</v>
      </c>
      <c r="G280" s="3" t="s">
        <v>1113</v>
      </c>
      <c r="H280" s="3" t="s">
        <v>65</v>
      </c>
      <c r="I280" s="3" t="s">
        <v>50</v>
      </c>
      <c r="J280" s="3" t="s">
        <v>1114</v>
      </c>
      <c r="K280" s="19">
        <v>6</v>
      </c>
      <c r="L280" s="3" t="s">
        <v>37</v>
      </c>
      <c r="M280" s="3" t="s">
        <v>22</v>
      </c>
      <c r="N280" s="20">
        <v>1812.3</v>
      </c>
    </row>
    <row r="281" spans="1:14" ht="20.100000000000001" customHeight="1">
      <c r="A281" s="3" t="s">
        <v>1115</v>
      </c>
      <c r="B281" s="18">
        <v>45219</v>
      </c>
      <c r="C281" s="3" t="s">
        <v>1116</v>
      </c>
      <c r="D281" s="3" t="s">
        <v>41</v>
      </c>
      <c r="E281" s="19">
        <v>3</v>
      </c>
      <c r="F281" s="20">
        <v>55.01</v>
      </c>
      <c r="G281" s="3" t="s">
        <v>1117</v>
      </c>
      <c r="H281" s="3" t="s">
        <v>27</v>
      </c>
      <c r="I281" s="3" t="s">
        <v>89</v>
      </c>
      <c r="J281" s="3" t="s">
        <v>1118</v>
      </c>
      <c r="K281" s="19">
        <v>7</v>
      </c>
      <c r="L281" s="3" t="s">
        <v>81</v>
      </c>
      <c r="M281" s="3" t="s">
        <v>38</v>
      </c>
      <c r="N281" s="20">
        <v>165.03</v>
      </c>
    </row>
    <row r="282" spans="1:14" ht="20.100000000000001" customHeight="1">
      <c r="A282" s="3" t="s">
        <v>1119</v>
      </c>
      <c r="B282" s="18">
        <v>45012</v>
      </c>
      <c r="C282" s="3" t="s">
        <v>1120</v>
      </c>
      <c r="D282" s="3" t="s">
        <v>32</v>
      </c>
      <c r="E282" s="19">
        <v>3</v>
      </c>
      <c r="F282" s="20">
        <v>404.62</v>
      </c>
      <c r="G282" s="3" t="s">
        <v>1121</v>
      </c>
      <c r="H282" s="3" t="s">
        <v>60</v>
      </c>
      <c r="I282" s="3" t="s">
        <v>50</v>
      </c>
      <c r="J282" s="3" t="s">
        <v>1122</v>
      </c>
      <c r="K282" s="19">
        <v>6</v>
      </c>
      <c r="L282" s="3" t="s">
        <v>37</v>
      </c>
      <c r="M282" s="3" t="s">
        <v>22</v>
      </c>
      <c r="N282" s="20">
        <v>1213.8599999999999</v>
      </c>
    </row>
    <row r="283" spans="1:14" ht="20.100000000000001" customHeight="1">
      <c r="A283" s="3" t="s">
        <v>1123</v>
      </c>
      <c r="B283" s="18">
        <v>45134</v>
      </c>
      <c r="C283" s="3" t="s">
        <v>1124</v>
      </c>
      <c r="D283" s="3" t="s">
        <v>73</v>
      </c>
      <c r="E283" s="19">
        <v>4</v>
      </c>
      <c r="F283" s="20">
        <v>654.79</v>
      </c>
      <c r="G283" s="3" t="s">
        <v>1125</v>
      </c>
      <c r="H283" s="3" t="s">
        <v>65</v>
      </c>
      <c r="I283" s="3" t="s">
        <v>89</v>
      </c>
      <c r="J283" s="3" t="s">
        <v>1126</v>
      </c>
      <c r="K283" s="19">
        <v>9</v>
      </c>
      <c r="L283" s="3"/>
      <c r="M283" s="3" t="s">
        <v>29</v>
      </c>
      <c r="N283" s="20">
        <v>2619.16</v>
      </c>
    </row>
    <row r="284" spans="1:14" ht="20.100000000000001" customHeight="1">
      <c r="A284" s="3" t="s">
        <v>1127</v>
      </c>
      <c r="B284" s="18">
        <v>45769</v>
      </c>
      <c r="C284" s="3" t="s">
        <v>1128</v>
      </c>
      <c r="D284" s="3" t="s">
        <v>48</v>
      </c>
      <c r="E284" s="19">
        <v>4</v>
      </c>
      <c r="F284" s="20">
        <v>637.79</v>
      </c>
      <c r="G284" s="3" t="s">
        <v>1129</v>
      </c>
      <c r="H284" s="3" t="s">
        <v>60</v>
      </c>
      <c r="I284" s="3" t="s">
        <v>35</v>
      </c>
      <c r="J284" s="3" t="s">
        <v>1130</v>
      </c>
      <c r="K284" s="19">
        <v>9</v>
      </c>
      <c r="L284" s="3" t="s">
        <v>37</v>
      </c>
      <c r="M284" s="3" t="s">
        <v>76</v>
      </c>
      <c r="N284" s="20">
        <v>2551.16</v>
      </c>
    </row>
    <row r="285" spans="1:14" ht="20.100000000000001" customHeight="1">
      <c r="A285" s="3" t="s">
        <v>1131</v>
      </c>
      <c r="B285" s="18">
        <v>45716</v>
      </c>
      <c r="C285" s="3" t="s">
        <v>1132</v>
      </c>
      <c r="D285" s="3" t="s">
        <v>58</v>
      </c>
      <c r="E285" s="19">
        <v>4</v>
      </c>
      <c r="F285" s="20">
        <v>540.33000000000004</v>
      </c>
      <c r="G285" s="3" t="s">
        <v>1133</v>
      </c>
      <c r="H285" s="3" t="s">
        <v>65</v>
      </c>
      <c r="I285" s="3" t="s">
        <v>19</v>
      </c>
      <c r="J285" s="3" t="s">
        <v>1134</v>
      </c>
      <c r="K285" s="19">
        <v>6</v>
      </c>
      <c r="L285" s="3"/>
      <c r="M285" s="3" t="s">
        <v>76</v>
      </c>
      <c r="N285" s="20">
        <v>2161.3200000000002</v>
      </c>
    </row>
    <row r="286" spans="1:14" ht="20.100000000000001" customHeight="1">
      <c r="A286" s="3" t="s">
        <v>1135</v>
      </c>
      <c r="B286" s="18">
        <v>44973</v>
      </c>
      <c r="C286" s="3" t="s">
        <v>1136</v>
      </c>
      <c r="D286" s="3" t="s">
        <v>58</v>
      </c>
      <c r="E286" s="19">
        <v>5</v>
      </c>
      <c r="F286" s="20">
        <v>208.17</v>
      </c>
      <c r="G286" s="3" t="s">
        <v>1137</v>
      </c>
      <c r="H286" s="3" t="s">
        <v>34</v>
      </c>
      <c r="I286" s="3" t="s">
        <v>43</v>
      </c>
      <c r="J286" s="3" t="s">
        <v>1138</v>
      </c>
      <c r="K286" s="19">
        <v>6</v>
      </c>
      <c r="L286" s="3" t="s">
        <v>21</v>
      </c>
      <c r="M286" s="3" t="s">
        <v>45</v>
      </c>
      <c r="N286" s="20">
        <v>1040.8499999999999</v>
      </c>
    </row>
    <row r="287" spans="1:14" ht="20.100000000000001" customHeight="1">
      <c r="A287" s="3" t="s">
        <v>1139</v>
      </c>
      <c r="B287" s="18">
        <v>45818</v>
      </c>
      <c r="C287" s="3" t="s">
        <v>1140</v>
      </c>
      <c r="D287" s="3" t="s">
        <v>25</v>
      </c>
      <c r="E287" s="19">
        <v>1</v>
      </c>
      <c r="F287" s="20">
        <v>338.31</v>
      </c>
      <c r="G287" s="3" t="s">
        <v>1093</v>
      </c>
      <c r="H287" s="3" t="s">
        <v>27</v>
      </c>
      <c r="I287" s="3" t="s">
        <v>50</v>
      </c>
      <c r="J287" s="3" t="s">
        <v>1141</v>
      </c>
      <c r="K287" s="19">
        <v>3</v>
      </c>
      <c r="L287" s="3"/>
      <c r="M287" s="3" t="s">
        <v>76</v>
      </c>
      <c r="N287" s="20">
        <v>338.31</v>
      </c>
    </row>
    <row r="288" spans="1:14" ht="20.100000000000001" customHeight="1">
      <c r="A288" s="3" t="s">
        <v>1142</v>
      </c>
      <c r="B288" s="18">
        <v>45754</v>
      </c>
      <c r="C288" s="3" t="s">
        <v>1143</v>
      </c>
      <c r="D288" s="3" t="s">
        <v>16</v>
      </c>
      <c r="E288" s="19">
        <v>3</v>
      </c>
      <c r="F288" s="20">
        <v>139.44999999999999</v>
      </c>
      <c r="G288" s="3" t="s">
        <v>510</v>
      </c>
      <c r="H288" s="3" t="s">
        <v>60</v>
      </c>
      <c r="I288" s="3" t="s">
        <v>43</v>
      </c>
      <c r="J288" s="3" t="s">
        <v>1144</v>
      </c>
      <c r="K288" s="19">
        <v>8</v>
      </c>
      <c r="L288" s="3" t="s">
        <v>81</v>
      </c>
      <c r="M288" s="3" t="s">
        <v>76</v>
      </c>
      <c r="N288" s="20">
        <v>418.35</v>
      </c>
    </row>
    <row r="289" spans="1:14" ht="20.100000000000001" customHeight="1">
      <c r="A289" s="3" t="s">
        <v>1145</v>
      </c>
      <c r="B289" s="18">
        <v>45254</v>
      </c>
      <c r="C289" s="3" t="s">
        <v>1146</v>
      </c>
      <c r="D289" s="3" t="s">
        <v>41</v>
      </c>
      <c r="E289" s="19">
        <v>4</v>
      </c>
      <c r="F289" s="20">
        <v>655.17999999999995</v>
      </c>
      <c r="G289" s="3" t="s">
        <v>1147</v>
      </c>
      <c r="H289" s="3" t="s">
        <v>27</v>
      </c>
      <c r="I289" s="3" t="s">
        <v>19</v>
      </c>
      <c r="J289" s="3" t="s">
        <v>1148</v>
      </c>
      <c r="K289" s="19">
        <v>5</v>
      </c>
      <c r="L289" s="3"/>
      <c r="M289" s="3" t="s">
        <v>45</v>
      </c>
      <c r="N289" s="20">
        <v>2620.7199999999998</v>
      </c>
    </row>
    <row r="290" spans="1:14" ht="20.100000000000001" customHeight="1">
      <c r="A290" s="3" t="s">
        <v>1149</v>
      </c>
      <c r="B290" s="18">
        <v>44997</v>
      </c>
      <c r="C290" s="3" t="s">
        <v>1150</v>
      </c>
      <c r="D290" s="3" t="s">
        <v>58</v>
      </c>
      <c r="E290" s="19">
        <v>4</v>
      </c>
      <c r="F290" s="20">
        <v>512.75</v>
      </c>
      <c r="G290" s="3" t="s">
        <v>1151</v>
      </c>
      <c r="H290" s="3" t="s">
        <v>18</v>
      </c>
      <c r="I290" s="3" t="s">
        <v>43</v>
      </c>
      <c r="J290" s="3" t="s">
        <v>1152</v>
      </c>
      <c r="K290" s="19">
        <v>8</v>
      </c>
      <c r="L290" s="3" t="s">
        <v>81</v>
      </c>
      <c r="M290" s="3" t="s">
        <v>76</v>
      </c>
      <c r="N290" s="20">
        <v>2051</v>
      </c>
    </row>
    <row r="291" spans="1:14" ht="20.100000000000001" customHeight="1">
      <c r="A291" s="3" t="s">
        <v>1153</v>
      </c>
      <c r="B291" s="18">
        <v>45133</v>
      </c>
      <c r="C291" s="3" t="s">
        <v>1154</v>
      </c>
      <c r="D291" s="3" t="s">
        <v>41</v>
      </c>
      <c r="E291" s="19">
        <v>4</v>
      </c>
      <c r="F291" s="20">
        <v>160.49</v>
      </c>
      <c r="G291" s="3" t="s">
        <v>79</v>
      </c>
      <c r="H291" s="3" t="s">
        <v>34</v>
      </c>
      <c r="I291" s="3" t="s">
        <v>19</v>
      </c>
      <c r="J291" s="3" t="s">
        <v>1155</v>
      </c>
      <c r="K291" s="19">
        <v>8</v>
      </c>
      <c r="L291" s="3" t="s">
        <v>81</v>
      </c>
      <c r="M291" s="3" t="s">
        <v>29</v>
      </c>
      <c r="N291" s="20">
        <v>641.96</v>
      </c>
    </row>
    <row r="292" spans="1:14" ht="20.100000000000001" customHeight="1">
      <c r="A292" s="3" t="s">
        <v>1156</v>
      </c>
      <c r="B292" s="18">
        <v>45051</v>
      </c>
      <c r="C292" s="3" t="s">
        <v>1157</v>
      </c>
      <c r="D292" s="3" t="s">
        <v>41</v>
      </c>
      <c r="E292" s="19">
        <v>3</v>
      </c>
      <c r="F292" s="20">
        <v>99.9</v>
      </c>
      <c r="G292" s="3" t="s">
        <v>755</v>
      </c>
      <c r="H292" s="3" t="s">
        <v>65</v>
      </c>
      <c r="I292" s="3" t="s">
        <v>50</v>
      </c>
      <c r="J292" s="3" t="s">
        <v>1158</v>
      </c>
      <c r="K292" s="19">
        <v>8</v>
      </c>
      <c r="L292" s="3" t="s">
        <v>37</v>
      </c>
      <c r="M292" s="3" t="s">
        <v>45</v>
      </c>
      <c r="N292" s="20">
        <v>299.7</v>
      </c>
    </row>
    <row r="293" spans="1:14" ht="20.100000000000001" customHeight="1">
      <c r="A293" s="3" t="s">
        <v>1159</v>
      </c>
      <c r="B293" s="18">
        <v>45424</v>
      </c>
      <c r="C293" s="3" t="s">
        <v>1160</v>
      </c>
      <c r="D293" s="3" t="s">
        <v>25</v>
      </c>
      <c r="E293" s="19">
        <v>2</v>
      </c>
      <c r="F293" s="20">
        <v>345.01</v>
      </c>
      <c r="G293" s="3" t="s">
        <v>1161</v>
      </c>
      <c r="H293" s="3" t="s">
        <v>34</v>
      </c>
      <c r="I293" s="3" t="s">
        <v>50</v>
      </c>
      <c r="J293" s="3" t="s">
        <v>1162</v>
      </c>
      <c r="K293" s="19">
        <v>6</v>
      </c>
      <c r="L293" s="3" t="s">
        <v>37</v>
      </c>
      <c r="M293" s="3" t="s">
        <v>76</v>
      </c>
      <c r="N293" s="20">
        <v>690.02</v>
      </c>
    </row>
    <row r="294" spans="1:14" ht="20.100000000000001" customHeight="1">
      <c r="A294" s="3" t="s">
        <v>1163</v>
      </c>
      <c r="B294" s="18">
        <v>45672</v>
      </c>
      <c r="C294" s="3" t="s">
        <v>1164</v>
      </c>
      <c r="D294" s="3" t="s">
        <v>16</v>
      </c>
      <c r="E294" s="19">
        <v>1</v>
      </c>
      <c r="F294" s="20">
        <v>65.95</v>
      </c>
      <c r="G294" s="3" t="s">
        <v>858</v>
      </c>
      <c r="H294" s="3" t="s">
        <v>34</v>
      </c>
      <c r="I294" s="3" t="s">
        <v>50</v>
      </c>
      <c r="J294" s="3" t="s">
        <v>1165</v>
      </c>
      <c r="K294" s="19">
        <v>5</v>
      </c>
      <c r="L294" s="3"/>
      <c r="M294" s="3" t="s">
        <v>45</v>
      </c>
      <c r="N294" s="20">
        <v>65.95</v>
      </c>
    </row>
    <row r="295" spans="1:14" ht="20.100000000000001" customHeight="1">
      <c r="A295" s="3" t="s">
        <v>1166</v>
      </c>
      <c r="B295" s="18">
        <v>44973</v>
      </c>
      <c r="C295" s="3" t="s">
        <v>1167</v>
      </c>
      <c r="D295" s="3" t="s">
        <v>32</v>
      </c>
      <c r="E295" s="19">
        <v>4</v>
      </c>
      <c r="F295" s="20">
        <v>463.04</v>
      </c>
      <c r="G295" s="3" t="s">
        <v>1168</v>
      </c>
      <c r="H295" s="3" t="s">
        <v>60</v>
      </c>
      <c r="I295" s="3" t="s">
        <v>43</v>
      </c>
      <c r="J295" s="3" t="s">
        <v>1169</v>
      </c>
      <c r="K295" s="19">
        <v>9</v>
      </c>
      <c r="L295" s="3"/>
      <c r="M295" s="3" t="s">
        <v>22</v>
      </c>
      <c r="N295" s="20">
        <v>1852.16</v>
      </c>
    </row>
    <row r="296" spans="1:14" ht="20.100000000000001" customHeight="1">
      <c r="A296" s="3" t="s">
        <v>1170</v>
      </c>
      <c r="B296" s="18">
        <v>45748</v>
      </c>
      <c r="C296" s="3" t="s">
        <v>1171</v>
      </c>
      <c r="D296" s="3" t="s">
        <v>25</v>
      </c>
      <c r="E296" s="19">
        <v>2</v>
      </c>
      <c r="F296" s="20">
        <v>297.70999999999998</v>
      </c>
      <c r="G296" s="3" t="s">
        <v>1172</v>
      </c>
      <c r="H296" s="3" t="s">
        <v>27</v>
      </c>
      <c r="I296" s="3" t="s">
        <v>19</v>
      </c>
      <c r="J296" s="3" t="s">
        <v>1173</v>
      </c>
      <c r="K296" s="19">
        <v>7</v>
      </c>
      <c r="L296" s="3" t="s">
        <v>21</v>
      </c>
      <c r="M296" s="3" t="s">
        <v>29</v>
      </c>
      <c r="N296" s="20">
        <v>595.41999999999996</v>
      </c>
    </row>
    <row r="297" spans="1:14" ht="20.100000000000001" customHeight="1">
      <c r="A297" s="3" t="s">
        <v>1174</v>
      </c>
      <c r="B297" s="18">
        <v>44951</v>
      </c>
      <c r="C297" s="3" t="s">
        <v>1175</v>
      </c>
      <c r="D297" s="3" t="s">
        <v>48</v>
      </c>
      <c r="E297" s="19">
        <v>5</v>
      </c>
      <c r="F297" s="20">
        <v>107.48</v>
      </c>
      <c r="G297" s="3" t="s">
        <v>1176</v>
      </c>
      <c r="H297" s="3" t="s">
        <v>18</v>
      </c>
      <c r="I297" s="3" t="s">
        <v>35</v>
      </c>
      <c r="J297" s="3" t="s">
        <v>1177</v>
      </c>
      <c r="K297" s="19">
        <v>9</v>
      </c>
      <c r="L297" s="3" t="s">
        <v>37</v>
      </c>
      <c r="M297" s="3" t="s">
        <v>38</v>
      </c>
      <c r="N297" s="20">
        <v>537.4</v>
      </c>
    </row>
    <row r="298" spans="1:14" ht="20.100000000000001" customHeight="1">
      <c r="A298" s="3" t="s">
        <v>1178</v>
      </c>
      <c r="B298" s="18">
        <v>45462</v>
      </c>
      <c r="C298" s="3" t="s">
        <v>1179</v>
      </c>
      <c r="D298" s="3" t="s">
        <v>73</v>
      </c>
      <c r="E298" s="19">
        <v>5</v>
      </c>
      <c r="F298" s="20">
        <v>638.79999999999995</v>
      </c>
      <c r="G298" s="3" t="s">
        <v>242</v>
      </c>
      <c r="H298" s="3" t="s">
        <v>18</v>
      </c>
      <c r="I298" s="3" t="s">
        <v>35</v>
      </c>
      <c r="J298" s="3" t="s">
        <v>1180</v>
      </c>
      <c r="K298" s="19">
        <v>10</v>
      </c>
      <c r="L298" s="3" t="s">
        <v>81</v>
      </c>
      <c r="M298" s="3" t="s">
        <v>29</v>
      </c>
      <c r="N298" s="20">
        <v>3194</v>
      </c>
    </row>
    <row r="299" spans="1:14" ht="20.100000000000001" customHeight="1">
      <c r="A299" s="3" t="s">
        <v>1181</v>
      </c>
      <c r="B299" s="18">
        <v>44979</v>
      </c>
      <c r="C299" s="3" t="s">
        <v>1182</v>
      </c>
      <c r="D299" s="3" t="s">
        <v>73</v>
      </c>
      <c r="E299" s="19">
        <v>2</v>
      </c>
      <c r="F299" s="20">
        <v>493.88</v>
      </c>
      <c r="G299" s="3" t="s">
        <v>1183</v>
      </c>
      <c r="H299" s="3" t="s">
        <v>34</v>
      </c>
      <c r="I299" s="3" t="s">
        <v>43</v>
      </c>
      <c r="J299" s="3" t="s">
        <v>1184</v>
      </c>
      <c r="K299" s="19">
        <v>7</v>
      </c>
      <c r="L299" s="3" t="s">
        <v>21</v>
      </c>
      <c r="M299" s="3" t="s">
        <v>22</v>
      </c>
      <c r="N299" s="20">
        <v>987.76</v>
      </c>
    </row>
    <row r="300" spans="1:14" ht="20.100000000000001" customHeight="1">
      <c r="A300" s="3" t="s">
        <v>1185</v>
      </c>
      <c r="B300" s="18">
        <v>45279</v>
      </c>
      <c r="C300" s="3" t="s">
        <v>1186</v>
      </c>
      <c r="D300" s="3" t="s">
        <v>48</v>
      </c>
      <c r="E300" s="19">
        <v>4</v>
      </c>
      <c r="F300" s="20">
        <v>301.17</v>
      </c>
      <c r="G300" s="3" t="s">
        <v>201</v>
      </c>
      <c r="H300" s="3" t="s">
        <v>27</v>
      </c>
      <c r="I300" s="3" t="s">
        <v>35</v>
      </c>
      <c r="J300" s="3" t="s">
        <v>1187</v>
      </c>
      <c r="K300" s="19">
        <v>6</v>
      </c>
      <c r="L300" s="3"/>
      <c r="M300" s="3" t="s">
        <v>38</v>
      </c>
      <c r="N300" s="20">
        <v>1204.68</v>
      </c>
    </row>
    <row r="301" spans="1:14" ht="20.100000000000001" customHeight="1">
      <c r="A301" s="3" t="s">
        <v>1188</v>
      </c>
      <c r="B301" s="18">
        <v>45311</v>
      </c>
      <c r="C301" s="3" t="s">
        <v>1189</v>
      </c>
      <c r="D301" s="3" t="s">
        <v>16</v>
      </c>
      <c r="E301" s="19">
        <v>1</v>
      </c>
      <c r="F301" s="20">
        <v>278.66000000000003</v>
      </c>
      <c r="G301" s="3" t="s">
        <v>1190</v>
      </c>
      <c r="H301" s="3" t="s">
        <v>60</v>
      </c>
      <c r="I301" s="3" t="s">
        <v>35</v>
      </c>
      <c r="J301" s="3" t="s">
        <v>1191</v>
      </c>
      <c r="K301" s="19">
        <v>2</v>
      </c>
      <c r="L301" s="3" t="s">
        <v>37</v>
      </c>
      <c r="M301" s="3" t="s">
        <v>22</v>
      </c>
      <c r="N301" s="20">
        <v>278.66000000000003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9CCA-91C0-4B34-961A-D6596064ECC9}">
  <dimension ref="A1:N301"/>
  <sheetViews>
    <sheetView tabSelected="1" topLeftCell="C18" workbookViewId="0">
      <selection activeCell="E22" sqref="E22"/>
    </sheetView>
  </sheetViews>
  <sheetFormatPr defaultColWidth="20.7109375" defaultRowHeight="24.95" customHeight="1"/>
  <cols>
    <col min="6" max="6" width="20.7109375" style="9"/>
    <col min="14" max="14" width="20.7109375" style="9"/>
  </cols>
  <sheetData>
    <row r="1" spans="1:14" ht="24.95" customHeight="1">
      <c r="A1" s="2" t="s">
        <v>0</v>
      </c>
      <c r="B1" s="2" t="s">
        <v>1</v>
      </c>
      <c r="C1" s="2" t="s">
        <v>2</v>
      </c>
      <c r="D1" s="2" t="s">
        <v>3</v>
      </c>
      <c r="E1" s="4" t="s">
        <v>4</v>
      </c>
      <c r="F1" s="8" t="s">
        <v>5</v>
      </c>
      <c r="G1" s="2" t="s">
        <v>6</v>
      </c>
      <c r="H1" s="2" t="s">
        <v>7</v>
      </c>
      <c r="I1" s="2" t="s">
        <v>8</v>
      </c>
      <c r="J1" s="2" t="s">
        <v>9</v>
      </c>
      <c r="K1" s="4" t="s">
        <v>10</v>
      </c>
      <c r="L1" s="2" t="s">
        <v>11</v>
      </c>
      <c r="M1" s="2" t="s">
        <v>12</v>
      </c>
      <c r="N1" s="8" t="s">
        <v>13</v>
      </c>
    </row>
    <row r="2" spans="1:14" ht="24.95" customHeight="1">
      <c r="A2" s="3" t="s">
        <v>14</v>
      </c>
      <c r="B2" s="21">
        <v>44930</v>
      </c>
      <c r="C2" s="3" t="s">
        <v>15</v>
      </c>
      <c r="D2" s="3" t="s">
        <v>16</v>
      </c>
      <c r="E2" s="19">
        <v>5</v>
      </c>
      <c r="F2" s="22">
        <v>570.62</v>
      </c>
      <c r="G2" s="3" t="s">
        <v>17</v>
      </c>
      <c r="H2" s="3" t="s">
        <v>18</v>
      </c>
      <c r="I2" s="3" t="s">
        <v>19</v>
      </c>
      <c r="J2" s="3" t="s">
        <v>20</v>
      </c>
      <c r="K2" s="19">
        <v>7</v>
      </c>
      <c r="L2" s="3" t="s">
        <v>21</v>
      </c>
      <c r="M2" s="3" t="s">
        <v>22</v>
      </c>
      <c r="N2" s="22">
        <v>2853.1</v>
      </c>
    </row>
    <row r="3" spans="1:14" ht="24.95" customHeight="1">
      <c r="A3" s="3" t="s">
        <v>23</v>
      </c>
      <c r="B3" s="21">
        <v>45527</v>
      </c>
      <c r="C3" s="3" t="s">
        <v>24</v>
      </c>
      <c r="D3" s="3" t="s">
        <v>25</v>
      </c>
      <c r="E3" s="19">
        <v>2</v>
      </c>
      <c r="F3" s="22">
        <v>151.35</v>
      </c>
      <c r="G3" s="3" t="s">
        <v>26</v>
      </c>
      <c r="H3" s="3" t="s">
        <v>27</v>
      </c>
      <c r="I3" s="3" t="s">
        <v>19</v>
      </c>
      <c r="J3" s="3" t="s">
        <v>28</v>
      </c>
      <c r="K3" s="19">
        <v>3</v>
      </c>
      <c r="L3" s="3" t="s">
        <v>21</v>
      </c>
      <c r="M3" s="3" t="s">
        <v>29</v>
      </c>
      <c r="N3" s="22">
        <v>302.7</v>
      </c>
    </row>
    <row r="4" spans="1:14" ht="24.95" customHeight="1">
      <c r="A4" s="3" t="s">
        <v>30</v>
      </c>
      <c r="B4" s="21">
        <v>45349</v>
      </c>
      <c r="C4" s="3" t="s">
        <v>31</v>
      </c>
      <c r="D4" s="3" t="s">
        <v>32</v>
      </c>
      <c r="E4" s="19">
        <v>5</v>
      </c>
      <c r="F4" s="22">
        <v>550.67999999999995</v>
      </c>
      <c r="G4" s="3" t="s">
        <v>33</v>
      </c>
      <c r="H4" s="3" t="s">
        <v>34</v>
      </c>
      <c r="I4" s="3" t="s">
        <v>35</v>
      </c>
      <c r="J4" s="3" t="s">
        <v>36</v>
      </c>
      <c r="K4" s="19">
        <v>8</v>
      </c>
      <c r="L4" s="3" t="s">
        <v>37</v>
      </c>
      <c r="M4" s="3" t="s">
        <v>38</v>
      </c>
      <c r="N4" s="22">
        <v>2753.4</v>
      </c>
    </row>
    <row r="5" spans="1:14" ht="24.95" customHeight="1">
      <c r="A5" s="3" t="s">
        <v>39</v>
      </c>
      <c r="B5" s="21">
        <v>45214</v>
      </c>
      <c r="C5" s="3" t="s">
        <v>40</v>
      </c>
      <c r="D5" s="3" t="s">
        <v>41</v>
      </c>
      <c r="E5" s="19">
        <v>1</v>
      </c>
      <c r="F5" s="22">
        <v>273.19</v>
      </c>
      <c r="G5" s="3" t="s">
        <v>42</v>
      </c>
      <c r="H5" s="3" t="s">
        <v>18</v>
      </c>
      <c r="I5" s="3" t="s">
        <v>43</v>
      </c>
      <c r="J5" s="3" t="s">
        <v>44</v>
      </c>
      <c r="K5" s="19">
        <v>5</v>
      </c>
      <c r="L5" s="3" t="s">
        <v>21</v>
      </c>
      <c r="M5" s="3" t="s">
        <v>45</v>
      </c>
      <c r="N5" s="22">
        <v>273.19</v>
      </c>
    </row>
    <row r="6" spans="1:14" ht="24.95" customHeight="1">
      <c r="A6" s="3" t="s">
        <v>46</v>
      </c>
      <c r="B6" s="21">
        <v>45785</v>
      </c>
      <c r="C6" s="3" t="s">
        <v>47</v>
      </c>
      <c r="D6" s="3" t="s">
        <v>48</v>
      </c>
      <c r="E6" s="19">
        <v>4</v>
      </c>
      <c r="F6" s="22">
        <v>626.01</v>
      </c>
      <c r="G6" s="3" t="s">
        <v>49</v>
      </c>
      <c r="H6" s="3" t="s">
        <v>27</v>
      </c>
      <c r="I6" s="3" t="s">
        <v>50</v>
      </c>
      <c r="J6" s="3" t="s">
        <v>51</v>
      </c>
      <c r="K6" s="19">
        <v>8</v>
      </c>
      <c r="L6" s="3" t="s">
        <v>21</v>
      </c>
      <c r="M6" s="3" t="s">
        <v>38</v>
      </c>
      <c r="N6" s="22">
        <v>2504.04</v>
      </c>
    </row>
    <row r="7" spans="1:14" ht="24.95" customHeight="1">
      <c r="A7" s="3" t="s">
        <v>52</v>
      </c>
      <c r="B7" s="21">
        <v>45222</v>
      </c>
      <c r="C7" s="3" t="s">
        <v>53</v>
      </c>
      <c r="D7" s="3" t="s">
        <v>25</v>
      </c>
      <c r="E7" s="19">
        <v>2</v>
      </c>
      <c r="F7" s="22">
        <v>245.86</v>
      </c>
      <c r="G7" s="3" t="s">
        <v>54</v>
      </c>
      <c r="H7" s="3" t="s">
        <v>34</v>
      </c>
      <c r="I7" s="3" t="s">
        <v>19</v>
      </c>
      <c r="J7" s="3" t="s">
        <v>55</v>
      </c>
      <c r="K7" s="19">
        <v>4</v>
      </c>
      <c r="L7" s="3" t="s">
        <v>21</v>
      </c>
      <c r="M7" s="3" t="s">
        <v>22</v>
      </c>
      <c r="N7" s="22">
        <v>491.72</v>
      </c>
    </row>
    <row r="8" spans="1:14" ht="24.95" customHeight="1">
      <c r="A8" s="3" t="s">
        <v>56</v>
      </c>
      <c r="B8" s="21">
        <v>45825</v>
      </c>
      <c r="C8" s="3" t="s">
        <v>57</v>
      </c>
      <c r="D8" s="3" t="s">
        <v>58</v>
      </c>
      <c r="E8" s="19">
        <v>1</v>
      </c>
      <c r="F8" s="22">
        <v>664.42</v>
      </c>
      <c r="G8" s="3" t="s">
        <v>59</v>
      </c>
      <c r="H8" s="3" t="s">
        <v>60</v>
      </c>
      <c r="I8" s="3" t="s">
        <v>43</v>
      </c>
      <c r="J8" s="3" t="s">
        <v>61</v>
      </c>
      <c r="K8" s="19">
        <v>6</v>
      </c>
      <c r="L8" s="3" t="s">
        <v>21</v>
      </c>
      <c r="M8" s="3" t="s">
        <v>45</v>
      </c>
      <c r="N8" s="22">
        <v>664.42</v>
      </c>
    </row>
    <row r="9" spans="1:14" ht="24.95" customHeight="1">
      <c r="A9" s="3" t="s">
        <v>62</v>
      </c>
      <c r="B9" s="21">
        <v>45058</v>
      </c>
      <c r="C9" s="3" t="s">
        <v>63</v>
      </c>
      <c r="D9" s="3" t="s">
        <v>16</v>
      </c>
      <c r="E9" s="19">
        <v>5</v>
      </c>
      <c r="F9" s="22">
        <v>149.55000000000001</v>
      </c>
      <c r="G9" s="3" t="s">
        <v>64</v>
      </c>
      <c r="H9" s="3" t="s">
        <v>65</v>
      </c>
      <c r="I9" s="3" t="s">
        <v>19</v>
      </c>
      <c r="J9" s="3" t="s">
        <v>66</v>
      </c>
      <c r="K9" s="19">
        <v>9</v>
      </c>
      <c r="L9" s="3" t="s">
        <v>37</v>
      </c>
      <c r="M9" s="3" t="s">
        <v>45</v>
      </c>
      <c r="N9" s="22">
        <v>747.75</v>
      </c>
    </row>
    <row r="10" spans="1:14" ht="24.95" customHeight="1">
      <c r="A10" s="3" t="s">
        <v>67</v>
      </c>
      <c r="B10" s="21">
        <v>45749</v>
      </c>
      <c r="C10" s="3" t="s">
        <v>68</v>
      </c>
      <c r="D10" s="3" t="s">
        <v>25</v>
      </c>
      <c r="E10" s="19">
        <v>2</v>
      </c>
      <c r="F10" s="22">
        <v>134.28</v>
      </c>
      <c r="G10" s="3" t="s">
        <v>69</v>
      </c>
      <c r="H10" s="3" t="s">
        <v>60</v>
      </c>
      <c r="I10" s="3" t="s">
        <v>35</v>
      </c>
      <c r="J10" s="3" t="s">
        <v>70</v>
      </c>
      <c r="K10" s="19">
        <v>2</v>
      </c>
      <c r="L10" s="3" t="s">
        <v>1192</v>
      </c>
      <c r="M10" s="3" t="s">
        <v>38</v>
      </c>
      <c r="N10" s="22">
        <v>268.56</v>
      </c>
    </row>
    <row r="11" spans="1:14" ht="24.95" customHeight="1">
      <c r="A11" s="3" t="s">
        <v>71</v>
      </c>
      <c r="B11" s="21">
        <v>45251</v>
      </c>
      <c r="C11" s="3" t="s">
        <v>72</v>
      </c>
      <c r="D11" s="3" t="s">
        <v>73</v>
      </c>
      <c r="E11" s="19">
        <v>4</v>
      </c>
      <c r="F11" s="22">
        <v>509.38</v>
      </c>
      <c r="G11" s="3" t="s">
        <v>74</v>
      </c>
      <c r="H11" s="3" t="s">
        <v>34</v>
      </c>
      <c r="I11" s="3" t="s">
        <v>19</v>
      </c>
      <c r="J11" s="3" t="s">
        <v>75</v>
      </c>
      <c r="K11" s="19">
        <v>6</v>
      </c>
      <c r="L11" s="3" t="s">
        <v>21</v>
      </c>
      <c r="M11" s="3" t="s">
        <v>76</v>
      </c>
      <c r="N11" s="22">
        <v>2037.52</v>
      </c>
    </row>
    <row r="12" spans="1:14" ht="24.95" customHeight="1">
      <c r="A12" s="3" t="s">
        <v>77</v>
      </c>
      <c r="B12" s="21">
        <v>45289</v>
      </c>
      <c r="C12" s="3" t="s">
        <v>78</v>
      </c>
      <c r="D12" s="3" t="s">
        <v>32</v>
      </c>
      <c r="E12" s="19">
        <v>5</v>
      </c>
      <c r="F12" s="22">
        <v>625.97</v>
      </c>
      <c r="G12" s="3" t="s">
        <v>79</v>
      </c>
      <c r="H12" s="3" t="s">
        <v>34</v>
      </c>
      <c r="I12" s="3" t="s">
        <v>43</v>
      </c>
      <c r="J12" s="3" t="s">
        <v>80</v>
      </c>
      <c r="K12" s="19">
        <v>9</v>
      </c>
      <c r="L12" s="3" t="s">
        <v>81</v>
      </c>
      <c r="M12" s="3" t="s">
        <v>22</v>
      </c>
      <c r="N12" s="22">
        <v>3129.85</v>
      </c>
    </row>
    <row r="13" spans="1:14" ht="24.95" customHeight="1">
      <c r="A13" s="3" t="s">
        <v>82</v>
      </c>
      <c r="B13" s="21">
        <v>45339</v>
      </c>
      <c r="C13" s="3" t="s">
        <v>83</v>
      </c>
      <c r="D13" s="3" t="s">
        <v>16</v>
      </c>
      <c r="E13" s="19">
        <v>3</v>
      </c>
      <c r="F13" s="22">
        <v>49.14</v>
      </c>
      <c r="G13" s="3" t="s">
        <v>84</v>
      </c>
      <c r="H13" s="3" t="s">
        <v>27</v>
      </c>
      <c r="I13" s="3" t="s">
        <v>43</v>
      </c>
      <c r="J13" s="3" t="s">
        <v>85</v>
      </c>
      <c r="K13" s="19">
        <v>7</v>
      </c>
      <c r="L13" s="3" t="s">
        <v>21</v>
      </c>
      <c r="M13" s="3" t="s">
        <v>38</v>
      </c>
      <c r="N13" s="22">
        <v>147.41999999999999</v>
      </c>
    </row>
    <row r="14" spans="1:14" ht="24.95" customHeight="1">
      <c r="A14" s="3" t="s">
        <v>86</v>
      </c>
      <c r="B14" s="21">
        <v>45580</v>
      </c>
      <c r="C14" s="3" t="s">
        <v>87</v>
      </c>
      <c r="D14" s="3" t="s">
        <v>16</v>
      </c>
      <c r="E14" s="19">
        <v>2</v>
      </c>
      <c r="F14" s="22">
        <v>180.5</v>
      </c>
      <c r="G14" s="3" t="s">
        <v>88</v>
      </c>
      <c r="H14" s="3" t="s">
        <v>18</v>
      </c>
      <c r="I14" s="3" t="s">
        <v>89</v>
      </c>
      <c r="J14" s="3" t="s">
        <v>90</v>
      </c>
      <c r="K14" s="19">
        <v>6</v>
      </c>
      <c r="L14" s="3" t="s">
        <v>37</v>
      </c>
      <c r="M14" s="3" t="s">
        <v>29</v>
      </c>
      <c r="N14" s="22">
        <v>361</v>
      </c>
    </row>
    <row r="15" spans="1:14" ht="24.95" customHeight="1">
      <c r="A15" s="3" t="s">
        <v>91</v>
      </c>
      <c r="B15" s="21">
        <v>45168</v>
      </c>
      <c r="C15" s="3" t="s">
        <v>92</v>
      </c>
      <c r="D15" s="3" t="s">
        <v>58</v>
      </c>
      <c r="E15" s="19">
        <v>3</v>
      </c>
      <c r="F15" s="22">
        <v>201.49</v>
      </c>
      <c r="G15" s="3" t="s">
        <v>93</v>
      </c>
      <c r="H15" s="3" t="s">
        <v>34</v>
      </c>
      <c r="I15" s="3" t="s">
        <v>43</v>
      </c>
      <c r="J15" s="3" t="s">
        <v>94</v>
      </c>
      <c r="K15" s="19">
        <v>4</v>
      </c>
      <c r="L15" s="3" t="s">
        <v>37</v>
      </c>
      <c r="M15" s="3" t="s">
        <v>45</v>
      </c>
      <c r="N15" s="22">
        <v>604.47</v>
      </c>
    </row>
    <row r="16" spans="1:14" ht="24.95" customHeight="1">
      <c r="A16" s="3" t="s">
        <v>95</v>
      </c>
      <c r="B16" s="21">
        <v>45012</v>
      </c>
      <c r="C16" s="3" t="s">
        <v>96</v>
      </c>
      <c r="D16" s="3" t="s">
        <v>32</v>
      </c>
      <c r="E16" s="19">
        <v>2</v>
      </c>
      <c r="F16" s="22">
        <v>393.33</v>
      </c>
      <c r="G16" s="3" t="s">
        <v>97</v>
      </c>
      <c r="H16" s="3" t="s">
        <v>18</v>
      </c>
      <c r="I16" s="3" t="s">
        <v>89</v>
      </c>
      <c r="J16" s="3" t="s">
        <v>98</v>
      </c>
      <c r="K16" s="19">
        <v>3</v>
      </c>
      <c r="L16" s="3" t="s">
        <v>21</v>
      </c>
      <c r="M16" s="3" t="s">
        <v>22</v>
      </c>
      <c r="N16" s="22">
        <v>786.66</v>
      </c>
    </row>
    <row r="17" spans="1:14" ht="24.95" customHeight="1">
      <c r="A17" s="3" t="s">
        <v>99</v>
      </c>
      <c r="B17" s="21">
        <v>45124</v>
      </c>
      <c r="C17" s="3" t="s">
        <v>100</v>
      </c>
      <c r="D17" s="3" t="s">
        <v>48</v>
      </c>
      <c r="E17" s="19">
        <v>1</v>
      </c>
      <c r="F17" s="22">
        <v>473.96</v>
      </c>
      <c r="G17" s="3" t="s">
        <v>101</v>
      </c>
      <c r="H17" s="3" t="s">
        <v>65</v>
      </c>
      <c r="I17" s="3" t="s">
        <v>50</v>
      </c>
      <c r="J17" s="3" t="s">
        <v>102</v>
      </c>
      <c r="K17" s="19">
        <v>3</v>
      </c>
      <c r="L17" s="3" t="s">
        <v>1192</v>
      </c>
      <c r="M17" s="3" t="s">
        <v>76</v>
      </c>
      <c r="N17" s="22">
        <v>473.96</v>
      </c>
    </row>
    <row r="18" spans="1:14" ht="24.95" customHeight="1">
      <c r="A18" s="3" t="s">
        <v>103</v>
      </c>
      <c r="B18" s="21">
        <v>44950</v>
      </c>
      <c r="C18" s="3" t="s">
        <v>104</v>
      </c>
      <c r="D18" s="3" t="s">
        <v>48</v>
      </c>
      <c r="E18" s="19">
        <v>2</v>
      </c>
      <c r="F18" s="22">
        <v>533.80999999999995</v>
      </c>
      <c r="G18" s="3" t="s">
        <v>105</v>
      </c>
      <c r="H18" s="3" t="s">
        <v>34</v>
      </c>
      <c r="I18" s="3" t="s">
        <v>89</v>
      </c>
      <c r="J18" s="3" t="s">
        <v>106</v>
      </c>
      <c r="K18" s="19">
        <v>3</v>
      </c>
      <c r="L18" s="3" t="s">
        <v>37</v>
      </c>
      <c r="M18" s="3" t="s">
        <v>38</v>
      </c>
      <c r="N18" s="22">
        <v>1067.6199999999999</v>
      </c>
    </row>
    <row r="19" spans="1:14" ht="24.95" customHeight="1">
      <c r="A19" s="3" t="s">
        <v>107</v>
      </c>
      <c r="B19" s="21">
        <v>45353</v>
      </c>
      <c r="C19" s="3" t="s">
        <v>108</v>
      </c>
      <c r="D19" s="3" t="s">
        <v>32</v>
      </c>
      <c r="E19" s="19">
        <v>1</v>
      </c>
      <c r="F19" s="22">
        <v>423.4</v>
      </c>
      <c r="G19" s="3" t="s">
        <v>109</v>
      </c>
      <c r="H19" s="3" t="s">
        <v>18</v>
      </c>
      <c r="I19" s="3" t="s">
        <v>19</v>
      </c>
      <c r="J19" s="3" t="s">
        <v>110</v>
      </c>
      <c r="K19" s="19">
        <v>3</v>
      </c>
      <c r="L19" s="3" t="s">
        <v>1192</v>
      </c>
      <c r="M19" s="3" t="s">
        <v>29</v>
      </c>
      <c r="N19" s="22">
        <v>423.4</v>
      </c>
    </row>
    <row r="20" spans="1:14" ht="24.95" customHeight="1">
      <c r="A20" s="3" t="s">
        <v>111</v>
      </c>
      <c r="B20" s="21">
        <v>45742</v>
      </c>
      <c r="C20" s="3" t="s">
        <v>112</v>
      </c>
      <c r="D20" s="3" t="s">
        <v>73</v>
      </c>
      <c r="E20" s="19">
        <v>1</v>
      </c>
      <c r="F20" s="22">
        <v>431.44</v>
      </c>
      <c r="G20" s="3" t="s">
        <v>113</v>
      </c>
      <c r="H20" s="3" t="s">
        <v>60</v>
      </c>
      <c r="I20" s="3" t="s">
        <v>89</v>
      </c>
      <c r="J20" s="3" t="s">
        <v>114</v>
      </c>
      <c r="K20" s="19">
        <v>3</v>
      </c>
      <c r="L20" s="3" t="s">
        <v>21</v>
      </c>
      <c r="M20" s="3" t="s">
        <v>45</v>
      </c>
      <c r="N20" s="22">
        <v>431.44</v>
      </c>
    </row>
    <row r="21" spans="1:14" ht="24.95" customHeight="1">
      <c r="A21" s="3" t="s">
        <v>115</v>
      </c>
      <c r="B21" s="21">
        <v>44949</v>
      </c>
      <c r="C21" s="3" t="s">
        <v>116</v>
      </c>
      <c r="D21" s="3" t="s">
        <v>16</v>
      </c>
      <c r="E21" s="19">
        <v>5</v>
      </c>
      <c r="F21" s="22">
        <v>224</v>
      </c>
      <c r="G21" s="3" t="s">
        <v>117</v>
      </c>
      <c r="H21" s="3" t="s">
        <v>65</v>
      </c>
      <c r="I21" s="3" t="s">
        <v>43</v>
      </c>
      <c r="J21" s="3" t="s">
        <v>118</v>
      </c>
      <c r="K21" s="19">
        <v>9</v>
      </c>
      <c r="L21" s="3" t="s">
        <v>21</v>
      </c>
      <c r="M21" s="3" t="s">
        <v>76</v>
      </c>
      <c r="N21" s="22">
        <v>1120</v>
      </c>
    </row>
    <row r="22" spans="1:14" ht="24.95" customHeight="1">
      <c r="A22" s="3" t="s">
        <v>119</v>
      </c>
      <c r="B22" s="21">
        <v>45054</v>
      </c>
      <c r="C22" s="3" t="s">
        <v>120</v>
      </c>
      <c r="D22" s="3" t="s">
        <v>41</v>
      </c>
      <c r="E22" s="19">
        <v>5</v>
      </c>
      <c r="F22" s="22">
        <v>62.51</v>
      </c>
      <c r="G22" s="3" t="s">
        <v>121</v>
      </c>
      <c r="H22" s="3" t="s">
        <v>65</v>
      </c>
      <c r="I22" s="3" t="s">
        <v>89</v>
      </c>
      <c r="J22" s="3" t="s">
        <v>122</v>
      </c>
      <c r="K22" s="19">
        <v>9</v>
      </c>
      <c r="L22" s="3" t="s">
        <v>81</v>
      </c>
      <c r="M22" s="3" t="s">
        <v>22</v>
      </c>
      <c r="N22" s="22">
        <v>312.55</v>
      </c>
    </row>
    <row r="23" spans="1:14" ht="24.95" customHeight="1">
      <c r="A23" s="3" t="s">
        <v>123</v>
      </c>
      <c r="B23" s="21">
        <v>45613</v>
      </c>
      <c r="C23" s="3" t="s">
        <v>124</v>
      </c>
      <c r="D23" s="3" t="s">
        <v>16</v>
      </c>
      <c r="E23" s="19">
        <v>4</v>
      </c>
      <c r="F23" s="22">
        <v>342.95</v>
      </c>
      <c r="G23" s="3" t="s">
        <v>125</v>
      </c>
      <c r="H23" s="3" t="s">
        <v>65</v>
      </c>
      <c r="I23" s="3" t="s">
        <v>50</v>
      </c>
      <c r="J23" s="3" t="s">
        <v>126</v>
      </c>
      <c r="K23" s="19">
        <v>6</v>
      </c>
      <c r="L23" s="3" t="s">
        <v>1192</v>
      </c>
      <c r="M23" s="3" t="s">
        <v>76</v>
      </c>
      <c r="N23" s="22">
        <v>1371.8</v>
      </c>
    </row>
    <row r="24" spans="1:14" ht="24.95" customHeight="1">
      <c r="A24" s="3" t="s">
        <v>127</v>
      </c>
      <c r="B24" s="21">
        <v>44955</v>
      </c>
      <c r="C24" s="3" t="s">
        <v>128</v>
      </c>
      <c r="D24" s="3" t="s">
        <v>16</v>
      </c>
      <c r="E24" s="19">
        <v>2</v>
      </c>
      <c r="F24" s="22">
        <v>49.62</v>
      </c>
      <c r="G24" s="3" t="s">
        <v>129</v>
      </c>
      <c r="H24" s="3" t="s">
        <v>27</v>
      </c>
      <c r="I24" s="3" t="s">
        <v>89</v>
      </c>
      <c r="J24" s="3" t="s">
        <v>130</v>
      </c>
      <c r="K24" s="19">
        <v>2</v>
      </c>
      <c r="L24" s="3" t="s">
        <v>21</v>
      </c>
      <c r="M24" s="3" t="s">
        <v>76</v>
      </c>
      <c r="N24" s="22">
        <v>99.24</v>
      </c>
    </row>
    <row r="25" spans="1:14" ht="24.95" customHeight="1">
      <c r="A25" s="3" t="s">
        <v>131</v>
      </c>
      <c r="B25" s="21">
        <v>45756</v>
      </c>
      <c r="C25" s="3" t="s">
        <v>132</v>
      </c>
      <c r="D25" s="3" t="s">
        <v>25</v>
      </c>
      <c r="E25" s="19">
        <v>4</v>
      </c>
      <c r="F25" s="22">
        <v>273.25</v>
      </c>
      <c r="G25" s="3" t="s">
        <v>133</v>
      </c>
      <c r="H25" s="3" t="s">
        <v>18</v>
      </c>
      <c r="I25" s="3" t="s">
        <v>35</v>
      </c>
      <c r="J25" s="3" t="s">
        <v>134</v>
      </c>
      <c r="K25" s="19">
        <v>5</v>
      </c>
      <c r="L25" s="3" t="s">
        <v>37</v>
      </c>
      <c r="M25" s="3" t="s">
        <v>29</v>
      </c>
      <c r="N25" s="22">
        <v>1093</v>
      </c>
    </row>
    <row r="26" spans="1:14" ht="24.95" customHeight="1">
      <c r="A26" s="3" t="s">
        <v>135</v>
      </c>
      <c r="B26" s="21">
        <v>45595</v>
      </c>
      <c r="C26" s="3" t="s">
        <v>136</v>
      </c>
      <c r="D26" s="3" t="s">
        <v>58</v>
      </c>
      <c r="E26" s="19">
        <v>2</v>
      </c>
      <c r="F26" s="22">
        <v>230.95</v>
      </c>
      <c r="G26" s="3" t="s">
        <v>137</v>
      </c>
      <c r="H26" s="3" t="s">
        <v>27</v>
      </c>
      <c r="I26" s="3" t="s">
        <v>50</v>
      </c>
      <c r="J26" s="3" t="s">
        <v>138</v>
      </c>
      <c r="K26" s="19">
        <v>3</v>
      </c>
      <c r="L26" s="3" t="s">
        <v>81</v>
      </c>
      <c r="M26" s="3" t="s">
        <v>29</v>
      </c>
      <c r="N26" s="22">
        <v>461.9</v>
      </c>
    </row>
    <row r="27" spans="1:14" ht="24.95" customHeight="1">
      <c r="A27" s="3" t="s">
        <v>139</v>
      </c>
      <c r="B27" s="21">
        <v>45497</v>
      </c>
      <c r="C27" s="3" t="s">
        <v>140</v>
      </c>
      <c r="D27" s="3" t="s">
        <v>16</v>
      </c>
      <c r="E27" s="19">
        <v>1</v>
      </c>
      <c r="F27" s="22">
        <v>399.98</v>
      </c>
      <c r="G27" s="3" t="s">
        <v>141</v>
      </c>
      <c r="H27" s="3" t="s">
        <v>18</v>
      </c>
      <c r="I27" s="3" t="s">
        <v>50</v>
      </c>
      <c r="J27" s="3" t="s">
        <v>142</v>
      </c>
      <c r="K27" s="19">
        <v>3</v>
      </c>
      <c r="L27" s="3" t="s">
        <v>81</v>
      </c>
      <c r="M27" s="3" t="s">
        <v>38</v>
      </c>
      <c r="N27" s="22">
        <v>399.98</v>
      </c>
    </row>
    <row r="28" spans="1:14" ht="24.95" customHeight="1">
      <c r="A28" s="3" t="s">
        <v>143</v>
      </c>
      <c r="B28" s="21">
        <v>45357</v>
      </c>
      <c r="C28" s="3" t="s">
        <v>144</v>
      </c>
      <c r="D28" s="3" t="s">
        <v>58</v>
      </c>
      <c r="E28" s="19">
        <v>5</v>
      </c>
      <c r="F28" s="22">
        <v>59.55</v>
      </c>
      <c r="G28" s="3" t="s">
        <v>145</v>
      </c>
      <c r="H28" s="3" t="s">
        <v>27</v>
      </c>
      <c r="I28" s="3" t="s">
        <v>50</v>
      </c>
      <c r="J28" s="3" t="s">
        <v>146</v>
      </c>
      <c r="K28" s="19">
        <v>6</v>
      </c>
      <c r="L28" s="3" t="s">
        <v>1192</v>
      </c>
      <c r="M28" s="3" t="s">
        <v>29</v>
      </c>
      <c r="N28" s="22">
        <v>297.75</v>
      </c>
    </row>
    <row r="29" spans="1:14" ht="24.95" customHeight="1">
      <c r="A29" s="3" t="s">
        <v>147</v>
      </c>
      <c r="B29" s="21">
        <v>45344</v>
      </c>
      <c r="C29" s="3" t="s">
        <v>148</v>
      </c>
      <c r="D29" s="3" t="s">
        <v>48</v>
      </c>
      <c r="E29" s="19">
        <v>1</v>
      </c>
      <c r="F29" s="22">
        <v>472.74</v>
      </c>
      <c r="G29" s="3" t="s">
        <v>149</v>
      </c>
      <c r="H29" s="3" t="s">
        <v>27</v>
      </c>
      <c r="I29" s="3" t="s">
        <v>19</v>
      </c>
      <c r="J29" s="3" t="s">
        <v>150</v>
      </c>
      <c r="K29" s="19">
        <v>6</v>
      </c>
      <c r="L29" s="3" t="s">
        <v>81</v>
      </c>
      <c r="M29" s="3" t="s">
        <v>76</v>
      </c>
      <c r="N29" s="22">
        <v>472.74</v>
      </c>
    </row>
    <row r="30" spans="1:14" ht="24.95" customHeight="1">
      <c r="A30" s="3" t="s">
        <v>151</v>
      </c>
      <c r="B30" s="21">
        <v>45251</v>
      </c>
      <c r="C30" s="3" t="s">
        <v>152</v>
      </c>
      <c r="D30" s="3" t="s">
        <v>25</v>
      </c>
      <c r="E30" s="19">
        <v>4</v>
      </c>
      <c r="F30" s="22">
        <v>160.07</v>
      </c>
      <c r="G30" s="3" t="s">
        <v>153</v>
      </c>
      <c r="H30" s="3" t="s">
        <v>27</v>
      </c>
      <c r="I30" s="3" t="s">
        <v>89</v>
      </c>
      <c r="J30" s="3" t="s">
        <v>154</v>
      </c>
      <c r="K30" s="19">
        <v>5</v>
      </c>
      <c r="L30" s="3" t="s">
        <v>1192</v>
      </c>
      <c r="M30" s="3" t="s">
        <v>38</v>
      </c>
      <c r="N30" s="22">
        <v>640.28</v>
      </c>
    </row>
    <row r="31" spans="1:14" ht="24.95" customHeight="1">
      <c r="A31" s="3" t="s">
        <v>155</v>
      </c>
      <c r="B31" s="21">
        <v>45555</v>
      </c>
      <c r="C31" s="3" t="s">
        <v>156</v>
      </c>
      <c r="D31" s="3" t="s">
        <v>73</v>
      </c>
      <c r="E31" s="19">
        <v>3</v>
      </c>
      <c r="F31" s="22">
        <v>423.53</v>
      </c>
      <c r="G31" s="3" t="s">
        <v>157</v>
      </c>
      <c r="H31" s="3" t="s">
        <v>34</v>
      </c>
      <c r="I31" s="3" t="s">
        <v>50</v>
      </c>
      <c r="J31" s="3" t="s">
        <v>158</v>
      </c>
      <c r="K31" s="19">
        <v>6</v>
      </c>
      <c r="L31" s="3" t="s">
        <v>21</v>
      </c>
      <c r="M31" s="3" t="s">
        <v>29</v>
      </c>
      <c r="N31" s="22">
        <v>1270.5899999999999</v>
      </c>
    </row>
    <row r="32" spans="1:14" ht="24.95" customHeight="1">
      <c r="A32" s="3" t="s">
        <v>159</v>
      </c>
      <c r="B32" s="21">
        <v>45738</v>
      </c>
      <c r="C32" s="3" t="s">
        <v>160</v>
      </c>
      <c r="D32" s="3" t="s">
        <v>16</v>
      </c>
      <c r="E32" s="19">
        <v>2</v>
      </c>
      <c r="F32" s="22">
        <v>426.7</v>
      </c>
      <c r="G32" s="3" t="s">
        <v>161</v>
      </c>
      <c r="H32" s="3" t="s">
        <v>27</v>
      </c>
      <c r="I32" s="3" t="s">
        <v>89</v>
      </c>
      <c r="J32" s="3" t="s">
        <v>162</v>
      </c>
      <c r="K32" s="19">
        <v>5</v>
      </c>
      <c r="L32" s="3" t="s">
        <v>21</v>
      </c>
      <c r="M32" s="3" t="s">
        <v>29</v>
      </c>
      <c r="N32" s="22">
        <v>853.4</v>
      </c>
    </row>
    <row r="33" spans="1:14" ht="24.95" customHeight="1">
      <c r="A33" s="3" t="s">
        <v>163</v>
      </c>
      <c r="B33" s="21">
        <v>45107</v>
      </c>
      <c r="C33" s="3" t="s">
        <v>164</v>
      </c>
      <c r="D33" s="3" t="s">
        <v>41</v>
      </c>
      <c r="E33" s="19">
        <v>3</v>
      </c>
      <c r="F33" s="22">
        <v>500.08</v>
      </c>
      <c r="G33" s="3" t="s">
        <v>165</v>
      </c>
      <c r="H33" s="3" t="s">
        <v>18</v>
      </c>
      <c r="I33" s="3" t="s">
        <v>43</v>
      </c>
      <c r="J33" s="3" t="s">
        <v>166</v>
      </c>
      <c r="K33" s="19">
        <v>6</v>
      </c>
      <c r="L33" s="3" t="s">
        <v>1192</v>
      </c>
      <c r="M33" s="3" t="s">
        <v>45</v>
      </c>
      <c r="N33" s="22">
        <v>1500.24</v>
      </c>
    </row>
    <row r="34" spans="1:14" ht="24.95" customHeight="1">
      <c r="A34" s="3" t="s">
        <v>167</v>
      </c>
      <c r="B34" s="21">
        <v>45047</v>
      </c>
      <c r="C34" s="3" t="s">
        <v>168</v>
      </c>
      <c r="D34" s="3" t="s">
        <v>32</v>
      </c>
      <c r="E34" s="19">
        <v>5</v>
      </c>
      <c r="F34" s="22">
        <v>536.72</v>
      </c>
      <c r="G34" s="3" t="s">
        <v>169</v>
      </c>
      <c r="H34" s="3" t="s">
        <v>65</v>
      </c>
      <c r="I34" s="3" t="s">
        <v>50</v>
      </c>
      <c r="J34" s="3" t="s">
        <v>170</v>
      </c>
      <c r="K34" s="19">
        <v>10</v>
      </c>
      <c r="L34" s="3" t="s">
        <v>1192</v>
      </c>
      <c r="M34" s="3" t="s">
        <v>38</v>
      </c>
      <c r="N34" s="22">
        <v>2683.6</v>
      </c>
    </row>
    <row r="35" spans="1:14" ht="24.95" customHeight="1">
      <c r="A35" s="3" t="s">
        <v>171</v>
      </c>
      <c r="B35" s="21">
        <v>45082</v>
      </c>
      <c r="C35" s="3" t="s">
        <v>172</v>
      </c>
      <c r="D35" s="3" t="s">
        <v>41</v>
      </c>
      <c r="E35" s="19">
        <v>1</v>
      </c>
      <c r="F35" s="22">
        <v>162.77000000000001</v>
      </c>
      <c r="G35" s="3" t="s">
        <v>173</v>
      </c>
      <c r="H35" s="3" t="s">
        <v>27</v>
      </c>
      <c r="I35" s="3" t="s">
        <v>35</v>
      </c>
      <c r="J35" s="3" t="s">
        <v>174</v>
      </c>
      <c r="K35" s="19">
        <v>4</v>
      </c>
      <c r="L35" s="3" t="s">
        <v>81</v>
      </c>
      <c r="M35" s="3" t="s">
        <v>45</v>
      </c>
      <c r="N35" s="22">
        <v>162.77000000000001</v>
      </c>
    </row>
    <row r="36" spans="1:14" ht="24.95" customHeight="1">
      <c r="A36" s="3" t="s">
        <v>175</v>
      </c>
      <c r="B36" s="21">
        <v>44933</v>
      </c>
      <c r="C36" s="3" t="s">
        <v>176</v>
      </c>
      <c r="D36" s="3" t="s">
        <v>41</v>
      </c>
      <c r="E36" s="19">
        <v>4</v>
      </c>
      <c r="F36" s="22">
        <v>576.52</v>
      </c>
      <c r="G36" s="3" t="s">
        <v>177</v>
      </c>
      <c r="H36" s="3" t="s">
        <v>34</v>
      </c>
      <c r="I36" s="3" t="s">
        <v>89</v>
      </c>
      <c r="J36" s="3" t="s">
        <v>178</v>
      </c>
      <c r="K36" s="19">
        <v>5</v>
      </c>
      <c r="L36" s="3" t="s">
        <v>81</v>
      </c>
      <c r="M36" s="3" t="s">
        <v>45</v>
      </c>
      <c r="N36" s="22">
        <v>2306.08</v>
      </c>
    </row>
    <row r="37" spans="1:14" ht="24.95" customHeight="1">
      <c r="A37" s="3" t="s">
        <v>179</v>
      </c>
      <c r="B37" s="21">
        <v>45633</v>
      </c>
      <c r="C37" s="3" t="s">
        <v>180</v>
      </c>
      <c r="D37" s="3" t="s">
        <v>16</v>
      </c>
      <c r="E37" s="19">
        <v>2</v>
      </c>
      <c r="F37" s="22">
        <v>465.15</v>
      </c>
      <c r="G37" s="3" t="s">
        <v>181</v>
      </c>
      <c r="H37" s="3" t="s">
        <v>27</v>
      </c>
      <c r="I37" s="3" t="s">
        <v>19</v>
      </c>
      <c r="J37" s="3" t="s">
        <v>182</v>
      </c>
      <c r="K37" s="19">
        <v>2</v>
      </c>
      <c r="L37" s="3" t="s">
        <v>21</v>
      </c>
      <c r="M37" s="3" t="s">
        <v>45</v>
      </c>
      <c r="N37" s="22">
        <v>930.3</v>
      </c>
    </row>
    <row r="38" spans="1:14" ht="24.95" customHeight="1">
      <c r="A38" s="3" t="s">
        <v>183</v>
      </c>
      <c r="B38" s="21">
        <v>45785</v>
      </c>
      <c r="C38" s="3" t="s">
        <v>184</v>
      </c>
      <c r="D38" s="3" t="s">
        <v>58</v>
      </c>
      <c r="E38" s="19">
        <v>2</v>
      </c>
      <c r="F38" s="22">
        <v>534.42999999999995</v>
      </c>
      <c r="G38" s="3" t="s">
        <v>185</v>
      </c>
      <c r="H38" s="3" t="s">
        <v>18</v>
      </c>
      <c r="I38" s="3" t="s">
        <v>89</v>
      </c>
      <c r="J38" s="3" t="s">
        <v>186</v>
      </c>
      <c r="K38" s="19">
        <v>5</v>
      </c>
      <c r="L38" s="3" t="s">
        <v>1192</v>
      </c>
      <c r="M38" s="3" t="s">
        <v>45</v>
      </c>
      <c r="N38" s="22">
        <v>1068.8599999999999</v>
      </c>
    </row>
    <row r="39" spans="1:14" ht="24.95" customHeight="1">
      <c r="A39" s="3" t="s">
        <v>187</v>
      </c>
      <c r="B39" s="21">
        <v>45579</v>
      </c>
      <c r="C39" s="3" t="s">
        <v>188</v>
      </c>
      <c r="D39" s="3" t="s">
        <v>58</v>
      </c>
      <c r="E39" s="19">
        <v>2</v>
      </c>
      <c r="F39" s="22">
        <v>76.739999999999995</v>
      </c>
      <c r="G39" s="3" t="s">
        <v>189</v>
      </c>
      <c r="H39" s="3" t="s">
        <v>65</v>
      </c>
      <c r="I39" s="3" t="s">
        <v>43</v>
      </c>
      <c r="J39" s="3" t="s">
        <v>190</v>
      </c>
      <c r="K39" s="19">
        <v>7</v>
      </c>
      <c r="L39" s="3" t="s">
        <v>21</v>
      </c>
      <c r="M39" s="3" t="s">
        <v>22</v>
      </c>
      <c r="N39" s="22">
        <v>153.47999999999999</v>
      </c>
    </row>
    <row r="40" spans="1:14" ht="24.95" customHeight="1">
      <c r="A40" s="3" t="s">
        <v>191</v>
      </c>
      <c r="B40" s="21">
        <v>45645</v>
      </c>
      <c r="C40" s="3" t="s">
        <v>192</v>
      </c>
      <c r="D40" s="3" t="s">
        <v>58</v>
      </c>
      <c r="E40" s="19">
        <v>1</v>
      </c>
      <c r="F40" s="22">
        <v>245.89</v>
      </c>
      <c r="G40" s="3" t="s">
        <v>193</v>
      </c>
      <c r="H40" s="3" t="s">
        <v>18</v>
      </c>
      <c r="I40" s="3" t="s">
        <v>50</v>
      </c>
      <c r="J40" s="3" t="s">
        <v>194</v>
      </c>
      <c r="K40" s="19">
        <v>3</v>
      </c>
      <c r="L40" s="3" t="s">
        <v>21</v>
      </c>
      <c r="M40" s="3" t="s">
        <v>76</v>
      </c>
      <c r="N40" s="22">
        <v>245.89</v>
      </c>
    </row>
    <row r="41" spans="1:14" ht="24.95" customHeight="1">
      <c r="A41" s="3" t="s">
        <v>195</v>
      </c>
      <c r="B41" s="21">
        <v>45715</v>
      </c>
      <c r="C41" s="3" t="s">
        <v>196</v>
      </c>
      <c r="D41" s="3" t="s">
        <v>48</v>
      </c>
      <c r="E41" s="19">
        <v>3</v>
      </c>
      <c r="F41" s="22">
        <v>256.45999999999998</v>
      </c>
      <c r="G41" s="3" t="s">
        <v>197</v>
      </c>
      <c r="H41" s="3" t="s">
        <v>34</v>
      </c>
      <c r="I41" s="3" t="s">
        <v>50</v>
      </c>
      <c r="J41" s="3" t="s">
        <v>198</v>
      </c>
      <c r="K41" s="19">
        <v>4</v>
      </c>
      <c r="L41" s="3" t="s">
        <v>21</v>
      </c>
      <c r="M41" s="3" t="s">
        <v>29</v>
      </c>
      <c r="N41" s="22">
        <v>769.37999999999988</v>
      </c>
    </row>
    <row r="42" spans="1:14" ht="24.95" customHeight="1">
      <c r="A42" s="3" t="s">
        <v>199</v>
      </c>
      <c r="B42" s="21">
        <v>45158</v>
      </c>
      <c r="C42" s="3" t="s">
        <v>200</v>
      </c>
      <c r="D42" s="3" t="s">
        <v>73</v>
      </c>
      <c r="E42" s="19">
        <v>2</v>
      </c>
      <c r="F42" s="22">
        <v>344.02</v>
      </c>
      <c r="G42" s="3" t="s">
        <v>201</v>
      </c>
      <c r="H42" s="3" t="s">
        <v>27</v>
      </c>
      <c r="I42" s="3" t="s">
        <v>50</v>
      </c>
      <c r="J42" s="3" t="s">
        <v>202</v>
      </c>
      <c r="K42" s="19">
        <v>4</v>
      </c>
      <c r="L42" s="3" t="s">
        <v>37</v>
      </c>
      <c r="M42" s="3" t="s">
        <v>22</v>
      </c>
      <c r="N42" s="22">
        <v>688.04</v>
      </c>
    </row>
    <row r="43" spans="1:14" ht="24.95" customHeight="1">
      <c r="A43" s="3" t="s">
        <v>203</v>
      </c>
      <c r="B43" s="21">
        <v>45265</v>
      </c>
      <c r="C43" s="3" t="s">
        <v>204</v>
      </c>
      <c r="D43" s="3" t="s">
        <v>16</v>
      </c>
      <c r="E43" s="19">
        <v>3</v>
      </c>
      <c r="F43" s="22">
        <v>611.45000000000005</v>
      </c>
      <c r="G43" s="3" t="s">
        <v>205</v>
      </c>
      <c r="H43" s="3" t="s">
        <v>60</v>
      </c>
      <c r="I43" s="3" t="s">
        <v>89</v>
      </c>
      <c r="J43" s="3" t="s">
        <v>206</v>
      </c>
      <c r="K43" s="19">
        <v>4</v>
      </c>
      <c r="L43" s="3" t="s">
        <v>37</v>
      </c>
      <c r="M43" s="3" t="s">
        <v>22</v>
      </c>
      <c r="N43" s="22">
        <v>1834.35</v>
      </c>
    </row>
    <row r="44" spans="1:14" ht="24.95" customHeight="1">
      <c r="A44" s="3" t="s">
        <v>207</v>
      </c>
      <c r="B44" s="21">
        <v>45418</v>
      </c>
      <c r="C44" s="3" t="s">
        <v>208</v>
      </c>
      <c r="D44" s="3" t="s">
        <v>48</v>
      </c>
      <c r="E44" s="19">
        <v>2</v>
      </c>
      <c r="F44" s="22">
        <v>151.66</v>
      </c>
      <c r="G44" s="3" t="s">
        <v>97</v>
      </c>
      <c r="H44" s="3" t="s">
        <v>65</v>
      </c>
      <c r="I44" s="3" t="s">
        <v>35</v>
      </c>
      <c r="J44" s="3" t="s">
        <v>209</v>
      </c>
      <c r="K44" s="19">
        <v>6</v>
      </c>
      <c r="L44" s="3" t="s">
        <v>1192</v>
      </c>
      <c r="M44" s="3" t="s">
        <v>22</v>
      </c>
      <c r="N44" s="22">
        <v>303.32</v>
      </c>
    </row>
    <row r="45" spans="1:14" ht="24.95" customHeight="1">
      <c r="A45" s="3" t="s">
        <v>210</v>
      </c>
      <c r="B45" s="21">
        <v>45274</v>
      </c>
      <c r="C45" s="3" t="s">
        <v>211</v>
      </c>
      <c r="D45" s="3" t="s">
        <v>41</v>
      </c>
      <c r="E45" s="19">
        <v>3</v>
      </c>
      <c r="F45" s="22">
        <v>499.21</v>
      </c>
      <c r="G45" s="3" t="s">
        <v>212</v>
      </c>
      <c r="H45" s="3" t="s">
        <v>27</v>
      </c>
      <c r="I45" s="3" t="s">
        <v>35</v>
      </c>
      <c r="J45" s="3" t="s">
        <v>213</v>
      </c>
      <c r="K45" s="19">
        <v>8</v>
      </c>
      <c r="L45" s="3" t="s">
        <v>1192</v>
      </c>
      <c r="M45" s="3" t="s">
        <v>22</v>
      </c>
      <c r="N45" s="22">
        <v>1497.63</v>
      </c>
    </row>
    <row r="46" spans="1:14" ht="24.95" customHeight="1">
      <c r="A46" s="3" t="s">
        <v>214</v>
      </c>
      <c r="B46" s="21">
        <v>45768</v>
      </c>
      <c r="C46" s="3" t="s">
        <v>215</v>
      </c>
      <c r="D46" s="3" t="s">
        <v>25</v>
      </c>
      <c r="E46" s="19">
        <v>2</v>
      </c>
      <c r="F46" s="22">
        <v>550.17999999999995</v>
      </c>
      <c r="G46" s="3" t="s">
        <v>165</v>
      </c>
      <c r="H46" s="3" t="s">
        <v>60</v>
      </c>
      <c r="I46" s="3" t="s">
        <v>43</v>
      </c>
      <c r="J46" s="3" t="s">
        <v>216</v>
      </c>
      <c r="K46" s="19">
        <v>3</v>
      </c>
      <c r="L46" s="3" t="s">
        <v>37</v>
      </c>
      <c r="M46" s="3" t="s">
        <v>29</v>
      </c>
      <c r="N46" s="22">
        <v>1100.3599999999999</v>
      </c>
    </row>
    <row r="47" spans="1:14" ht="24.95" customHeight="1">
      <c r="A47" s="3" t="s">
        <v>217</v>
      </c>
      <c r="B47" s="21">
        <v>45332</v>
      </c>
      <c r="C47" s="3" t="s">
        <v>218</v>
      </c>
      <c r="D47" s="3" t="s">
        <v>41</v>
      </c>
      <c r="E47" s="19">
        <v>1</v>
      </c>
      <c r="F47" s="22">
        <v>317.25</v>
      </c>
      <c r="G47" s="3" t="s">
        <v>219</v>
      </c>
      <c r="H47" s="3" t="s">
        <v>18</v>
      </c>
      <c r="I47" s="3" t="s">
        <v>43</v>
      </c>
      <c r="J47" s="3" t="s">
        <v>220</v>
      </c>
      <c r="K47" s="19">
        <v>1</v>
      </c>
      <c r="L47" s="3" t="s">
        <v>21</v>
      </c>
      <c r="M47" s="3" t="s">
        <v>45</v>
      </c>
      <c r="N47" s="22">
        <v>317.25</v>
      </c>
    </row>
    <row r="48" spans="1:14" ht="24.95" customHeight="1">
      <c r="A48" s="3" t="s">
        <v>221</v>
      </c>
      <c r="B48" s="21">
        <v>45469</v>
      </c>
      <c r="C48" s="3" t="s">
        <v>222</v>
      </c>
      <c r="D48" s="3" t="s">
        <v>16</v>
      </c>
      <c r="E48" s="19">
        <v>4</v>
      </c>
      <c r="F48" s="22">
        <v>550.14</v>
      </c>
      <c r="G48" s="3" t="s">
        <v>223</v>
      </c>
      <c r="H48" s="3" t="s">
        <v>18</v>
      </c>
      <c r="I48" s="3" t="s">
        <v>89</v>
      </c>
      <c r="J48" s="3" t="s">
        <v>224</v>
      </c>
      <c r="K48" s="19">
        <v>4</v>
      </c>
      <c r="L48" s="3" t="s">
        <v>37</v>
      </c>
      <c r="M48" s="3" t="s">
        <v>22</v>
      </c>
      <c r="N48" s="22">
        <v>2200.56</v>
      </c>
    </row>
    <row r="49" spans="1:14" ht="24.95" customHeight="1">
      <c r="A49" s="3" t="s">
        <v>225</v>
      </c>
      <c r="B49" s="21">
        <v>45126</v>
      </c>
      <c r="C49" s="3" t="s">
        <v>226</v>
      </c>
      <c r="D49" s="3" t="s">
        <v>73</v>
      </c>
      <c r="E49" s="19">
        <v>2</v>
      </c>
      <c r="F49" s="22">
        <v>209.94</v>
      </c>
      <c r="G49" s="3" t="s">
        <v>227</v>
      </c>
      <c r="H49" s="3" t="s">
        <v>34</v>
      </c>
      <c r="I49" s="3" t="s">
        <v>43</v>
      </c>
      <c r="J49" s="3" t="s">
        <v>228</v>
      </c>
      <c r="K49" s="19">
        <v>3</v>
      </c>
      <c r="L49" s="3" t="s">
        <v>37</v>
      </c>
      <c r="M49" s="3" t="s">
        <v>38</v>
      </c>
      <c r="N49" s="22">
        <v>419.88</v>
      </c>
    </row>
    <row r="50" spans="1:14" ht="24.95" customHeight="1">
      <c r="A50" s="3" t="s">
        <v>229</v>
      </c>
      <c r="B50" s="21">
        <v>45164</v>
      </c>
      <c r="C50" s="3" t="s">
        <v>230</v>
      </c>
      <c r="D50" s="3" t="s">
        <v>16</v>
      </c>
      <c r="E50" s="19">
        <v>2</v>
      </c>
      <c r="F50" s="22">
        <v>80.77</v>
      </c>
      <c r="G50" s="3" t="s">
        <v>231</v>
      </c>
      <c r="H50" s="3" t="s">
        <v>18</v>
      </c>
      <c r="I50" s="3" t="s">
        <v>19</v>
      </c>
      <c r="J50" s="3" t="s">
        <v>232</v>
      </c>
      <c r="K50" s="19">
        <v>4</v>
      </c>
      <c r="L50" s="3" t="s">
        <v>1192</v>
      </c>
      <c r="M50" s="3" t="s">
        <v>76</v>
      </c>
      <c r="N50" s="22">
        <v>161.54</v>
      </c>
    </row>
    <row r="51" spans="1:14" ht="24.95" customHeight="1">
      <c r="A51" s="3" t="s">
        <v>233</v>
      </c>
      <c r="B51" s="21">
        <v>45206</v>
      </c>
      <c r="C51" s="3" t="s">
        <v>234</v>
      </c>
      <c r="D51" s="3" t="s">
        <v>48</v>
      </c>
      <c r="E51" s="19">
        <v>1</v>
      </c>
      <c r="F51" s="22">
        <v>30.44</v>
      </c>
      <c r="G51" s="3" t="s">
        <v>129</v>
      </c>
      <c r="H51" s="3" t="s">
        <v>34</v>
      </c>
      <c r="I51" s="3" t="s">
        <v>19</v>
      </c>
      <c r="J51" s="3" t="s">
        <v>235</v>
      </c>
      <c r="K51" s="19">
        <v>1</v>
      </c>
      <c r="L51" s="3" t="s">
        <v>21</v>
      </c>
      <c r="M51" s="3" t="s">
        <v>38</v>
      </c>
      <c r="N51" s="22">
        <v>30.44</v>
      </c>
    </row>
    <row r="52" spans="1:14" ht="24.95" customHeight="1">
      <c r="A52" s="3" t="s">
        <v>236</v>
      </c>
      <c r="B52" s="21">
        <v>45138</v>
      </c>
      <c r="C52" s="3" t="s">
        <v>237</v>
      </c>
      <c r="D52" s="3" t="s">
        <v>32</v>
      </c>
      <c r="E52" s="19">
        <v>1</v>
      </c>
      <c r="F52" s="22">
        <v>179.22</v>
      </c>
      <c r="G52" s="3" t="s">
        <v>238</v>
      </c>
      <c r="H52" s="3" t="s">
        <v>27</v>
      </c>
      <c r="I52" s="3" t="s">
        <v>35</v>
      </c>
      <c r="J52" s="3" t="s">
        <v>239</v>
      </c>
      <c r="K52" s="19">
        <v>6</v>
      </c>
      <c r="L52" s="3" t="s">
        <v>37</v>
      </c>
      <c r="M52" s="3" t="s">
        <v>22</v>
      </c>
      <c r="N52" s="22">
        <v>179.22</v>
      </c>
    </row>
    <row r="53" spans="1:14" ht="24.95" customHeight="1">
      <c r="A53" s="3" t="s">
        <v>240</v>
      </c>
      <c r="B53" s="21">
        <v>45656</v>
      </c>
      <c r="C53" s="3" t="s">
        <v>241</v>
      </c>
      <c r="D53" s="3" t="s">
        <v>32</v>
      </c>
      <c r="E53" s="19">
        <v>1</v>
      </c>
      <c r="F53" s="22">
        <v>388.33</v>
      </c>
      <c r="G53" s="3" t="s">
        <v>242</v>
      </c>
      <c r="H53" s="3" t="s">
        <v>65</v>
      </c>
      <c r="I53" s="3" t="s">
        <v>43</v>
      </c>
      <c r="J53" s="3" t="s">
        <v>243</v>
      </c>
      <c r="K53" s="19">
        <v>2</v>
      </c>
      <c r="L53" s="3" t="s">
        <v>21</v>
      </c>
      <c r="M53" s="3" t="s">
        <v>45</v>
      </c>
      <c r="N53" s="22">
        <v>388.33</v>
      </c>
    </row>
    <row r="54" spans="1:14" ht="24.95" customHeight="1">
      <c r="A54" s="3" t="s">
        <v>244</v>
      </c>
      <c r="B54" s="21">
        <v>45543</v>
      </c>
      <c r="C54" s="3" t="s">
        <v>245</v>
      </c>
      <c r="D54" s="3" t="s">
        <v>32</v>
      </c>
      <c r="E54" s="19">
        <v>1</v>
      </c>
      <c r="F54" s="22">
        <v>586.44000000000005</v>
      </c>
      <c r="G54" s="3" t="s">
        <v>246</v>
      </c>
      <c r="H54" s="3" t="s">
        <v>27</v>
      </c>
      <c r="I54" s="3" t="s">
        <v>43</v>
      </c>
      <c r="J54" s="3" t="s">
        <v>247</v>
      </c>
      <c r="K54" s="19">
        <v>5</v>
      </c>
      <c r="L54" s="3" t="s">
        <v>21</v>
      </c>
      <c r="M54" s="3" t="s">
        <v>45</v>
      </c>
      <c r="N54" s="22">
        <v>586.44000000000005</v>
      </c>
    </row>
    <row r="55" spans="1:14" ht="24.95" customHeight="1">
      <c r="A55" s="3" t="s">
        <v>248</v>
      </c>
      <c r="B55" s="21">
        <v>45430</v>
      </c>
      <c r="C55" s="3" t="s">
        <v>249</v>
      </c>
      <c r="D55" s="3" t="s">
        <v>25</v>
      </c>
      <c r="E55" s="19">
        <v>4</v>
      </c>
      <c r="F55" s="22">
        <v>488.78</v>
      </c>
      <c r="G55" s="3" t="s">
        <v>33</v>
      </c>
      <c r="H55" s="3" t="s">
        <v>27</v>
      </c>
      <c r="I55" s="3" t="s">
        <v>43</v>
      </c>
      <c r="J55" s="3" t="s">
        <v>250</v>
      </c>
      <c r="K55" s="19">
        <v>5</v>
      </c>
      <c r="L55" s="3" t="s">
        <v>37</v>
      </c>
      <c r="M55" s="3" t="s">
        <v>76</v>
      </c>
      <c r="N55" s="22">
        <v>1955.12</v>
      </c>
    </row>
    <row r="56" spans="1:14" ht="24.95" customHeight="1">
      <c r="A56" s="3" t="s">
        <v>251</v>
      </c>
      <c r="B56" s="21">
        <v>45743</v>
      </c>
      <c r="C56" s="3" t="s">
        <v>252</v>
      </c>
      <c r="D56" s="3" t="s">
        <v>41</v>
      </c>
      <c r="E56" s="19">
        <v>1</v>
      </c>
      <c r="F56" s="22">
        <v>280.25</v>
      </c>
      <c r="G56" s="3" t="s">
        <v>253</v>
      </c>
      <c r="H56" s="3" t="s">
        <v>27</v>
      </c>
      <c r="I56" s="3" t="s">
        <v>89</v>
      </c>
      <c r="J56" s="3" t="s">
        <v>254</v>
      </c>
      <c r="K56" s="19">
        <v>5</v>
      </c>
      <c r="L56" s="3" t="s">
        <v>81</v>
      </c>
      <c r="M56" s="3" t="s">
        <v>38</v>
      </c>
      <c r="N56" s="22">
        <v>280.25</v>
      </c>
    </row>
    <row r="57" spans="1:14" ht="24.95" customHeight="1">
      <c r="A57" s="3" t="s">
        <v>255</v>
      </c>
      <c r="B57" s="21">
        <v>45832</v>
      </c>
      <c r="C57" s="3" t="s">
        <v>256</v>
      </c>
      <c r="D57" s="3" t="s">
        <v>48</v>
      </c>
      <c r="E57" s="19">
        <v>3</v>
      </c>
      <c r="F57" s="22">
        <v>344.4</v>
      </c>
      <c r="G57" s="3" t="s">
        <v>257</v>
      </c>
      <c r="H57" s="3" t="s">
        <v>27</v>
      </c>
      <c r="I57" s="3" t="s">
        <v>35</v>
      </c>
      <c r="J57" s="3" t="s">
        <v>258</v>
      </c>
      <c r="K57" s="19">
        <v>3</v>
      </c>
      <c r="L57" s="3" t="s">
        <v>1192</v>
      </c>
      <c r="M57" s="3" t="s">
        <v>45</v>
      </c>
      <c r="N57" s="22">
        <v>1033.2</v>
      </c>
    </row>
    <row r="58" spans="1:14" ht="24.95" customHeight="1">
      <c r="A58" s="3" t="s">
        <v>259</v>
      </c>
      <c r="B58" s="21">
        <v>45067</v>
      </c>
      <c r="C58" s="3" t="s">
        <v>260</v>
      </c>
      <c r="D58" s="3" t="s">
        <v>32</v>
      </c>
      <c r="E58" s="19">
        <v>3</v>
      </c>
      <c r="F58" s="22">
        <v>479.21</v>
      </c>
      <c r="G58" s="3" t="s">
        <v>261</v>
      </c>
      <c r="H58" s="3" t="s">
        <v>65</v>
      </c>
      <c r="I58" s="3" t="s">
        <v>35</v>
      </c>
      <c r="J58" s="3" t="s">
        <v>262</v>
      </c>
      <c r="K58" s="19">
        <v>5</v>
      </c>
      <c r="L58" s="3" t="s">
        <v>81</v>
      </c>
      <c r="M58" s="3" t="s">
        <v>29</v>
      </c>
      <c r="N58" s="22">
        <v>1437.63</v>
      </c>
    </row>
    <row r="59" spans="1:14" ht="24.95" customHeight="1">
      <c r="A59" s="3" t="s">
        <v>263</v>
      </c>
      <c r="B59" s="21">
        <v>44948</v>
      </c>
      <c r="C59" s="3" t="s">
        <v>264</v>
      </c>
      <c r="D59" s="3" t="s">
        <v>48</v>
      </c>
      <c r="E59" s="19">
        <v>5</v>
      </c>
      <c r="F59" s="22">
        <v>314.27</v>
      </c>
      <c r="G59" s="3" t="s">
        <v>265</v>
      </c>
      <c r="H59" s="3" t="s">
        <v>65</v>
      </c>
      <c r="I59" s="3" t="s">
        <v>43</v>
      </c>
      <c r="J59" s="3" t="s">
        <v>266</v>
      </c>
      <c r="K59" s="19">
        <v>6</v>
      </c>
      <c r="L59" s="3" t="s">
        <v>21</v>
      </c>
      <c r="M59" s="3" t="s">
        <v>22</v>
      </c>
      <c r="N59" s="22">
        <v>1571.35</v>
      </c>
    </row>
    <row r="60" spans="1:14" ht="24.95" customHeight="1">
      <c r="A60" s="3" t="s">
        <v>267</v>
      </c>
      <c r="B60" s="21">
        <v>44941</v>
      </c>
      <c r="C60" s="3" t="s">
        <v>268</v>
      </c>
      <c r="D60" s="3" t="s">
        <v>25</v>
      </c>
      <c r="E60" s="19">
        <v>4</v>
      </c>
      <c r="F60" s="22">
        <v>474.69</v>
      </c>
      <c r="G60" s="3" t="s">
        <v>269</v>
      </c>
      <c r="H60" s="3" t="s">
        <v>60</v>
      </c>
      <c r="I60" s="3" t="s">
        <v>35</v>
      </c>
      <c r="J60" s="3" t="s">
        <v>270</v>
      </c>
      <c r="K60" s="19">
        <v>6</v>
      </c>
      <c r="L60" s="3" t="s">
        <v>21</v>
      </c>
      <c r="M60" s="3" t="s">
        <v>76</v>
      </c>
      <c r="N60" s="22">
        <v>1898.76</v>
      </c>
    </row>
    <row r="61" spans="1:14" ht="24.95" customHeight="1">
      <c r="A61" s="3" t="s">
        <v>271</v>
      </c>
      <c r="B61" s="21">
        <v>45546</v>
      </c>
      <c r="C61" s="3" t="s">
        <v>272</v>
      </c>
      <c r="D61" s="3" t="s">
        <v>41</v>
      </c>
      <c r="E61" s="19">
        <v>4</v>
      </c>
      <c r="F61" s="22">
        <v>593.27</v>
      </c>
      <c r="G61" s="3" t="s">
        <v>273</v>
      </c>
      <c r="H61" s="3" t="s">
        <v>27</v>
      </c>
      <c r="I61" s="3" t="s">
        <v>19</v>
      </c>
      <c r="J61" s="3" t="s">
        <v>274</v>
      </c>
      <c r="K61" s="19">
        <v>5</v>
      </c>
      <c r="L61" s="3" t="s">
        <v>1192</v>
      </c>
      <c r="M61" s="3" t="s">
        <v>45</v>
      </c>
      <c r="N61" s="22">
        <v>2373.08</v>
      </c>
    </row>
    <row r="62" spans="1:14" ht="24.95" customHeight="1">
      <c r="A62" s="3" t="s">
        <v>275</v>
      </c>
      <c r="B62" s="21">
        <v>45525</v>
      </c>
      <c r="C62" s="3" t="s">
        <v>276</v>
      </c>
      <c r="D62" s="3" t="s">
        <v>73</v>
      </c>
      <c r="E62" s="19">
        <v>1</v>
      </c>
      <c r="F62" s="22">
        <v>417.1</v>
      </c>
      <c r="G62" s="3" t="s">
        <v>277</v>
      </c>
      <c r="H62" s="3" t="s">
        <v>18</v>
      </c>
      <c r="I62" s="3" t="s">
        <v>43</v>
      </c>
      <c r="J62" s="3" t="s">
        <v>278</v>
      </c>
      <c r="K62" s="19">
        <v>3</v>
      </c>
      <c r="L62" s="3" t="s">
        <v>37</v>
      </c>
      <c r="M62" s="3" t="s">
        <v>29</v>
      </c>
      <c r="N62" s="22">
        <v>417.1</v>
      </c>
    </row>
    <row r="63" spans="1:14" ht="24.95" customHeight="1">
      <c r="A63" s="3" t="s">
        <v>279</v>
      </c>
      <c r="B63" s="21">
        <v>45375</v>
      </c>
      <c r="C63" s="3" t="s">
        <v>280</v>
      </c>
      <c r="D63" s="3" t="s">
        <v>73</v>
      </c>
      <c r="E63" s="19">
        <v>4</v>
      </c>
      <c r="F63" s="22">
        <v>122.2</v>
      </c>
      <c r="G63" s="3" t="s">
        <v>281</v>
      </c>
      <c r="H63" s="3" t="s">
        <v>65</v>
      </c>
      <c r="I63" s="3" t="s">
        <v>50</v>
      </c>
      <c r="J63" s="3" t="s">
        <v>282</v>
      </c>
      <c r="K63" s="19">
        <v>7</v>
      </c>
      <c r="L63" s="3" t="s">
        <v>37</v>
      </c>
      <c r="M63" s="3" t="s">
        <v>45</v>
      </c>
      <c r="N63" s="22">
        <v>488.8</v>
      </c>
    </row>
    <row r="64" spans="1:14" ht="24.95" customHeight="1">
      <c r="A64" s="3" t="s">
        <v>283</v>
      </c>
      <c r="B64" s="21">
        <v>45160</v>
      </c>
      <c r="C64" s="3" t="s">
        <v>284</v>
      </c>
      <c r="D64" s="3" t="s">
        <v>73</v>
      </c>
      <c r="E64" s="19">
        <v>2</v>
      </c>
      <c r="F64" s="22">
        <v>43.15</v>
      </c>
      <c r="G64" s="3" t="s">
        <v>285</v>
      </c>
      <c r="H64" s="3" t="s">
        <v>18</v>
      </c>
      <c r="I64" s="3" t="s">
        <v>89</v>
      </c>
      <c r="J64" s="3" t="s">
        <v>286</v>
      </c>
      <c r="K64" s="19">
        <v>3</v>
      </c>
      <c r="L64" s="3" t="s">
        <v>81</v>
      </c>
      <c r="M64" s="3" t="s">
        <v>38</v>
      </c>
      <c r="N64" s="22">
        <v>86.3</v>
      </c>
    </row>
    <row r="65" spans="1:14" ht="24.95" customHeight="1">
      <c r="A65" s="3" t="s">
        <v>287</v>
      </c>
      <c r="B65" s="21">
        <v>45690</v>
      </c>
      <c r="C65" s="3" t="s">
        <v>288</v>
      </c>
      <c r="D65" s="3" t="s">
        <v>41</v>
      </c>
      <c r="E65" s="19">
        <v>1</v>
      </c>
      <c r="F65" s="22">
        <v>564.86</v>
      </c>
      <c r="G65" s="3" t="s">
        <v>289</v>
      </c>
      <c r="H65" s="3" t="s">
        <v>18</v>
      </c>
      <c r="I65" s="3" t="s">
        <v>19</v>
      </c>
      <c r="J65" s="3" t="s">
        <v>290</v>
      </c>
      <c r="K65" s="19">
        <v>6</v>
      </c>
      <c r="L65" s="3" t="s">
        <v>81</v>
      </c>
      <c r="M65" s="3" t="s">
        <v>29</v>
      </c>
      <c r="N65" s="22">
        <v>564.86</v>
      </c>
    </row>
    <row r="66" spans="1:14" ht="24.95" customHeight="1">
      <c r="A66" s="3" t="s">
        <v>291</v>
      </c>
      <c r="B66" s="21">
        <v>45833</v>
      </c>
      <c r="C66" s="3" t="s">
        <v>292</v>
      </c>
      <c r="D66" s="3" t="s">
        <v>48</v>
      </c>
      <c r="E66" s="19">
        <v>3</v>
      </c>
      <c r="F66" s="22">
        <v>130.61000000000001</v>
      </c>
      <c r="G66" s="3" t="s">
        <v>293</v>
      </c>
      <c r="H66" s="3" t="s">
        <v>18</v>
      </c>
      <c r="I66" s="3" t="s">
        <v>35</v>
      </c>
      <c r="J66" s="3" t="s">
        <v>294</v>
      </c>
      <c r="K66" s="19">
        <v>4</v>
      </c>
      <c r="L66" s="3" t="s">
        <v>37</v>
      </c>
      <c r="M66" s="3" t="s">
        <v>45</v>
      </c>
      <c r="N66" s="22">
        <v>391.83</v>
      </c>
    </row>
    <row r="67" spans="1:14" ht="24.95" customHeight="1">
      <c r="A67" s="3" t="s">
        <v>295</v>
      </c>
      <c r="B67" s="21">
        <v>45290</v>
      </c>
      <c r="C67" s="3" t="s">
        <v>296</v>
      </c>
      <c r="D67" s="3" t="s">
        <v>16</v>
      </c>
      <c r="E67" s="19">
        <v>5</v>
      </c>
      <c r="F67" s="22">
        <v>81.7</v>
      </c>
      <c r="G67" s="3" t="s">
        <v>297</v>
      </c>
      <c r="H67" s="3" t="s">
        <v>34</v>
      </c>
      <c r="I67" s="3" t="s">
        <v>50</v>
      </c>
      <c r="J67" s="3" t="s">
        <v>298</v>
      </c>
      <c r="K67" s="19">
        <v>6</v>
      </c>
      <c r="L67" s="3" t="s">
        <v>1192</v>
      </c>
      <c r="M67" s="3" t="s">
        <v>22</v>
      </c>
      <c r="N67" s="22">
        <v>408.5</v>
      </c>
    </row>
    <row r="68" spans="1:14" ht="24.95" customHeight="1">
      <c r="A68" s="3" t="s">
        <v>299</v>
      </c>
      <c r="B68" s="21">
        <v>45611</v>
      </c>
      <c r="C68" s="3" t="s">
        <v>300</v>
      </c>
      <c r="D68" s="3" t="s">
        <v>41</v>
      </c>
      <c r="E68" s="19">
        <v>5</v>
      </c>
      <c r="F68" s="22">
        <v>127.18</v>
      </c>
      <c r="G68" s="3" t="s">
        <v>301</v>
      </c>
      <c r="H68" s="3" t="s">
        <v>65</v>
      </c>
      <c r="I68" s="3" t="s">
        <v>35</v>
      </c>
      <c r="J68" s="3" t="s">
        <v>302</v>
      </c>
      <c r="K68" s="19">
        <v>9</v>
      </c>
      <c r="L68" s="3" t="s">
        <v>21</v>
      </c>
      <c r="M68" s="3" t="s">
        <v>29</v>
      </c>
      <c r="N68" s="22">
        <v>635.90000000000009</v>
      </c>
    </row>
    <row r="69" spans="1:14" ht="24.95" customHeight="1">
      <c r="A69" s="3" t="s">
        <v>303</v>
      </c>
      <c r="B69" s="21">
        <v>45635</v>
      </c>
      <c r="C69" s="3" t="s">
        <v>304</v>
      </c>
      <c r="D69" s="3" t="s">
        <v>48</v>
      </c>
      <c r="E69" s="19">
        <v>4</v>
      </c>
      <c r="F69" s="22">
        <v>12.1</v>
      </c>
      <c r="G69" s="3" t="s">
        <v>305</v>
      </c>
      <c r="H69" s="3" t="s">
        <v>18</v>
      </c>
      <c r="I69" s="3" t="s">
        <v>35</v>
      </c>
      <c r="J69" s="3" t="s">
        <v>306</v>
      </c>
      <c r="K69" s="19">
        <v>8</v>
      </c>
      <c r="L69" s="3" t="s">
        <v>1192</v>
      </c>
      <c r="M69" s="3" t="s">
        <v>76</v>
      </c>
      <c r="N69" s="22">
        <v>48.4</v>
      </c>
    </row>
    <row r="70" spans="1:14" ht="24.95" customHeight="1">
      <c r="A70" s="3" t="s">
        <v>307</v>
      </c>
      <c r="B70" s="21">
        <v>45271</v>
      </c>
      <c r="C70" s="3" t="s">
        <v>308</v>
      </c>
      <c r="D70" s="3" t="s">
        <v>41</v>
      </c>
      <c r="E70" s="19">
        <v>3</v>
      </c>
      <c r="F70" s="22">
        <v>490.92</v>
      </c>
      <c r="G70" s="3" t="s">
        <v>141</v>
      </c>
      <c r="H70" s="3" t="s">
        <v>34</v>
      </c>
      <c r="I70" s="3" t="s">
        <v>89</v>
      </c>
      <c r="J70" s="3" t="s">
        <v>309</v>
      </c>
      <c r="K70" s="19">
        <v>5</v>
      </c>
      <c r="L70" s="3" t="s">
        <v>37</v>
      </c>
      <c r="M70" s="3" t="s">
        <v>38</v>
      </c>
      <c r="N70" s="22">
        <v>1472.76</v>
      </c>
    </row>
    <row r="71" spans="1:14" ht="24.95" customHeight="1">
      <c r="A71" s="3" t="s">
        <v>310</v>
      </c>
      <c r="B71" s="21">
        <v>45057</v>
      </c>
      <c r="C71" s="3" t="s">
        <v>311</v>
      </c>
      <c r="D71" s="3" t="s">
        <v>16</v>
      </c>
      <c r="E71" s="19">
        <v>3</v>
      </c>
      <c r="F71" s="22">
        <v>478.65</v>
      </c>
      <c r="G71" s="3" t="s">
        <v>312</v>
      </c>
      <c r="H71" s="3" t="s">
        <v>27</v>
      </c>
      <c r="I71" s="3" t="s">
        <v>19</v>
      </c>
      <c r="J71" s="3" t="s">
        <v>313</v>
      </c>
      <c r="K71" s="19">
        <v>4</v>
      </c>
      <c r="L71" s="3" t="s">
        <v>1192</v>
      </c>
      <c r="M71" s="3" t="s">
        <v>29</v>
      </c>
      <c r="N71" s="22">
        <v>1435.95</v>
      </c>
    </row>
    <row r="72" spans="1:14" ht="24.95" customHeight="1">
      <c r="A72" s="3" t="s">
        <v>314</v>
      </c>
      <c r="B72" s="21">
        <v>45072</v>
      </c>
      <c r="C72" s="3" t="s">
        <v>315</v>
      </c>
      <c r="D72" s="3" t="s">
        <v>73</v>
      </c>
      <c r="E72" s="19">
        <v>1</v>
      </c>
      <c r="F72" s="22">
        <v>629.21</v>
      </c>
      <c r="G72" s="3" t="s">
        <v>316</v>
      </c>
      <c r="H72" s="3" t="s">
        <v>60</v>
      </c>
      <c r="I72" s="3" t="s">
        <v>89</v>
      </c>
      <c r="J72" s="3" t="s">
        <v>317</v>
      </c>
      <c r="K72" s="19">
        <v>2</v>
      </c>
      <c r="L72" s="3" t="s">
        <v>37</v>
      </c>
      <c r="M72" s="3" t="s">
        <v>22</v>
      </c>
      <c r="N72" s="22">
        <v>629.21</v>
      </c>
    </row>
    <row r="73" spans="1:14" ht="24.95" customHeight="1">
      <c r="A73" s="3" t="s">
        <v>318</v>
      </c>
      <c r="B73" s="21">
        <v>45818</v>
      </c>
      <c r="C73" s="3" t="s">
        <v>319</v>
      </c>
      <c r="D73" s="3" t="s">
        <v>16</v>
      </c>
      <c r="E73" s="19">
        <v>3</v>
      </c>
      <c r="F73" s="22">
        <v>434.45</v>
      </c>
      <c r="G73" s="3" t="s">
        <v>320</v>
      </c>
      <c r="H73" s="3" t="s">
        <v>34</v>
      </c>
      <c r="I73" s="3" t="s">
        <v>89</v>
      </c>
      <c r="J73" s="3" t="s">
        <v>321</v>
      </c>
      <c r="K73" s="19">
        <v>4</v>
      </c>
      <c r="L73" s="3" t="s">
        <v>1192</v>
      </c>
      <c r="M73" s="3" t="s">
        <v>29</v>
      </c>
      <c r="N73" s="22">
        <v>1303.3499999999999</v>
      </c>
    </row>
    <row r="74" spans="1:14" ht="24.95" customHeight="1">
      <c r="A74" s="3" t="s">
        <v>322</v>
      </c>
      <c r="B74" s="21">
        <v>45648</v>
      </c>
      <c r="C74" s="3" t="s">
        <v>323</v>
      </c>
      <c r="D74" s="3" t="s">
        <v>32</v>
      </c>
      <c r="E74" s="19">
        <v>4</v>
      </c>
      <c r="F74" s="22">
        <v>589.44000000000005</v>
      </c>
      <c r="G74" s="3" t="s">
        <v>101</v>
      </c>
      <c r="H74" s="3" t="s">
        <v>60</v>
      </c>
      <c r="I74" s="3" t="s">
        <v>43</v>
      </c>
      <c r="J74" s="3" t="s">
        <v>324</v>
      </c>
      <c r="K74" s="19">
        <v>5</v>
      </c>
      <c r="L74" s="3" t="s">
        <v>1192</v>
      </c>
      <c r="M74" s="3" t="s">
        <v>45</v>
      </c>
      <c r="N74" s="22">
        <v>2357.7600000000002</v>
      </c>
    </row>
    <row r="75" spans="1:14" ht="24.95" customHeight="1">
      <c r="A75" s="3" t="s">
        <v>325</v>
      </c>
      <c r="B75" s="21">
        <v>45049</v>
      </c>
      <c r="C75" s="3" t="s">
        <v>326</v>
      </c>
      <c r="D75" s="3" t="s">
        <v>16</v>
      </c>
      <c r="E75" s="19">
        <v>4</v>
      </c>
      <c r="F75" s="22">
        <v>433.45</v>
      </c>
      <c r="G75" s="3" t="s">
        <v>327</v>
      </c>
      <c r="H75" s="3" t="s">
        <v>60</v>
      </c>
      <c r="I75" s="3" t="s">
        <v>35</v>
      </c>
      <c r="J75" s="3" t="s">
        <v>328</v>
      </c>
      <c r="K75" s="19">
        <v>4</v>
      </c>
      <c r="L75" s="3" t="s">
        <v>1192</v>
      </c>
      <c r="M75" s="3" t="s">
        <v>45</v>
      </c>
      <c r="N75" s="22">
        <v>1733.8</v>
      </c>
    </row>
    <row r="76" spans="1:14" ht="24.95" customHeight="1">
      <c r="A76" s="3" t="s">
        <v>329</v>
      </c>
      <c r="B76" s="21">
        <v>45101</v>
      </c>
      <c r="C76" s="3" t="s">
        <v>330</v>
      </c>
      <c r="D76" s="3" t="s">
        <v>25</v>
      </c>
      <c r="E76" s="19">
        <v>5</v>
      </c>
      <c r="F76" s="22">
        <v>90.87</v>
      </c>
      <c r="G76" s="3" t="s">
        <v>331</v>
      </c>
      <c r="H76" s="3" t="s">
        <v>65</v>
      </c>
      <c r="I76" s="3" t="s">
        <v>89</v>
      </c>
      <c r="J76" s="3" t="s">
        <v>332</v>
      </c>
      <c r="K76" s="19">
        <v>5</v>
      </c>
      <c r="L76" s="3" t="s">
        <v>1192</v>
      </c>
      <c r="M76" s="3" t="s">
        <v>22</v>
      </c>
      <c r="N76" s="22">
        <v>454.35</v>
      </c>
    </row>
    <row r="77" spans="1:14" ht="24.95" customHeight="1">
      <c r="A77" s="3" t="s">
        <v>333</v>
      </c>
      <c r="B77" s="21">
        <v>45195</v>
      </c>
      <c r="C77" s="3" t="s">
        <v>334</v>
      </c>
      <c r="D77" s="3" t="s">
        <v>32</v>
      </c>
      <c r="E77" s="19">
        <v>3</v>
      </c>
      <c r="F77" s="22">
        <v>398.17</v>
      </c>
      <c r="G77" s="3" t="s">
        <v>335</v>
      </c>
      <c r="H77" s="3" t="s">
        <v>18</v>
      </c>
      <c r="I77" s="3" t="s">
        <v>50</v>
      </c>
      <c r="J77" s="3" t="s">
        <v>336</v>
      </c>
      <c r="K77" s="19">
        <v>5</v>
      </c>
      <c r="L77" s="3" t="s">
        <v>21</v>
      </c>
      <c r="M77" s="3" t="s">
        <v>38</v>
      </c>
      <c r="N77" s="22">
        <v>1194.51</v>
      </c>
    </row>
    <row r="78" spans="1:14" ht="24.95" customHeight="1">
      <c r="A78" s="3" t="s">
        <v>337</v>
      </c>
      <c r="B78" s="21">
        <v>45382</v>
      </c>
      <c r="C78" s="3" t="s">
        <v>338</v>
      </c>
      <c r="D78" s="3" t="s">
        <v>58</v>
      </c>
      <c r="E78" s="19">
        <v>4</v>
      </c>
      <c r="F78" s="22">
        <v>382.88</v>
      </c>
      <c r="G78" s="3" t="s">
        <v>339</v>
      </c>
      <c r="H78" s="3" t="s">
        <v>65</v>
      </c>
      <c r="I78" s="3" t="s">
        <v>35</v>
      </c>
      <c r="J78" s="3" t="s">
        <v>340</v>
      </c>
      <c r="K78" s="19">
        <v>6</v>
      </c>
      <c r="L78" s="3" t="s">
        <v>81</v>
      </c>
      <c r="M78" s="3" t="s">
        <v>38</v>
      </c>
      <c r="N78" s="22">
        <v>1531.52</v>
      </c>
    </row>
    <row r="79" spans="1:14" ht="24.95" customHeight="1">
      <c r="A79" s="3" t="s">
        <v>341</v>
      </c>
      <c r="B79" s="21">
        <v>45436</v>
      </c>
      <c r="C79" s="3" t="s">
        <v>342</v>
      </c>
      <c r="D79" s="3" t="s">
        <v>25</v>
      </c>
      <c r="E79" s="19">
        <v>1</v>
      </c>
      <c r="F79" s="22">
        <v>583.17999999999995</v>
      </c>
      <c r="G79" s="3" t="s">
        <v>343</v>
      </c>
      <c r="H79" s="3" t="s">
        <v>34</v>
      </c>
      <c r="I79" s="3" t="s">
        <v>43</v>
      </c>
      <c r="J79" s="3" t="s">
        <v>344</v>
      </c>
      <c r="K79" s="19">
        <v>5</v>
      </c>
      <c r="L79" s="3" t="s">
        <v>1192</v>
      </c>
      <c r="M79" s="3" t="s">
        <v>76</v>
      </c>
      <c r="N79" s="22">
        <v>583.17999999999995</v>
      </c>
    </row>
    <row r="80" spans="1:14" ht="24.95" customHeight="1">
      <c r="A80" s="3" t="s">
        <v>345</v>
      </c>
      <c r="B80" s="21">
        <v>45510</v>
      </c>
      <c r="C80" s="3" t="s">
        <v>346</v>
      </c>
      <c r="D80" s="3" t="s">
        <v>48</v>
      </c>
      <c r="E80" s="19">
        <v>4</v>
      </c>
      <c r="F80" s="22">
        <v>175.36</v>
      </c>
      <c r="G80" s="3" t="s">
        <v>347</v>
      </c>
      <c r="H80" s="3" t="s">
        <v>18</v>
      </c>
      <c r="I80" s="3" t="s">
        <v>50</v>
      </c>
      <c r="J80" s="3" t="s">
        <v>348</v>
      </c>
      <c r="K80" s="19">
        <v>4</v>
      </c>
      <c r="L80" s="3" t="s">
        <v>37</v>
      </c>
      <c r="M80" s="3" t="s">
        <v>22</v>
      </c>
      <c r="N80" s="22">
        <v>701.44</v>
      </c>
    </row>
    <row r="81" spans="1:14" ht="24.95" customHeight="1">
      <c r="A81" s="3" t="s">
        <v>349</v>
      </c>
      <c r="B81" s="21">
        <v>45726</v>
      </c>
      <c r="C81" s="3" t="s">
        <v>350</v>
      </c>
      <c r="D81" s="3" t="s">
        <v>32</v>
      </c>
      <c r="E81" s="19">
        <v>2</v>
      </c>
      <c r="F81" s="22">
        <v>311.91000000000003</v>
      </c>
      <c r="G81" s="3" t="s">
        <v>351</v>
      </c>
      <c r="H81" s="3" t="s">
        <v>27</v>
      </c>
      <c r="I81" s="3" t="s">
        <v>19</v>
      </c>
      <c r="J81" s="3" t="s">
        <v>352</v>
      </c>
      <c r="K81" s="19">
        <v>2</v>
      </c>
      <c r="L81" s="3" t="s">
        <v>1192</v>
      </c>
      <c r="M81" s="3" t="s">
        <v>45</v>
      </c>
      <c r="N81" s="22">
        <v>623.82000000000005</v>
      </c>
    </row>
    <row r="82" spans="1:14" ht="24.95" customHeight="1">
      <c r="A82" s="3" t="s">
        <v>353</v>
      </c>
      <c r="B82" s="21">
        <v>45104</v>
      </c>
      <c r="C82" s="3" t="s">
        <v>354</v>
      </c>
      <c r="D82" s="3" t="s">
        <v>25</v>
      </c>
      <c r="E82" s="19">
        <v>3</v>
      </c>
      <c r="F82" s="22">
        <v>589.55999999999995</v>
      </c>
      <c r="G82" s="3" t="s">
        <v>355</v>
      </c>
      <c r="H82" s="3" t="s">
        <v>27</v>
      </c>
      <c r="I82" s="3" t="s">
        <v>43</v>
      </c>
      <c r="J82" s="3" t="s">
        <v>356</v>
      </c>
      <c r="K82" s="19">
        <v>6</v>
      </c>
      <c r="L82" s="3" t="s">
        <v>1192</v>
      </c>
      <c r="M82" s="3" t="s">
        <v>45</v>
      </c>
      <c r="N82" s="22">
        <v>1768.68</v>
      </c>
    </row>
    <row r="83" spans="1:14" ht="24.95" customHeight="1">
      <c r="A83" s="3" t="s">
        <v>357</v>
      </c>
      <c r="B83" s="21">
        <v>45085</v>
      </c>
      <c r="C83" s="3" t="s">
        <v>358</v>
      </c>
      <c r="D83" s="3" t="s">
        <v>16</v>
      </c>
      <c r="E83" s="19">
        <v>2</v>
      </c>
      <c r="F83" s="22">
        <v>394.3</v>
      </c>
      <c r="G83" s="3" t="s">
        <v>359</v>
      </c>
      <c r="H83" s="3" t="s">
        <v>65</v>
      </c>
      <c r="I83" s="3" t="s">
        <v>19</v>
      </c>
      <c r="J83" s="3" t="s">
        <v>360</v>
      </c>
      <c r="K83" s="19">
        <v>6</v>
      </c>
      <c r="L83" s="3" t="s">
        <v>37</v>
      </c>
      <c r="M83" s="3" t="s">
        <v>38</v>
      </c>
      <c r="N83" s="22">
        <v>788.6</v>
      </c>
    </row>
    <row r="84" spans="1:14" ht="24.95" customHeight="1">
      <c r="A84" s="3" t="s">
        <v>361</v>
      </c>
      <c r="B84" s="21">
        <v>45296</v>
      </c>
      <c r="C84" s="3" t="s">
        <v>362</v>
      </c>
      <c r="D84" s="3" t="s">
        <v>32</v>
      </c>
      <c r="E84" s="19">
        <v>4</v>
      </c>
      <c r="F84" s="22">
        <v>565.20000000000005</v>
      </c>
      <c r="G84" s="3" t="s">
        <v>363</v>
      </c>
      <c r="H84" s="3" t="s">
        <v>18</v>
      </c>
      <c r="I84" s="3" t="s">
        <v>19</v>
      </c>
      <c r="J84" s="3" t="s">
        <v>364</v>
      </c>
      <c r="K84" s="19">
        <v>9</v>
      </c>
      <c r="L84" s="3" t="s">
        <v>21</v>
      </c>
      <c r="M84" s="3" t="s">
        <v>76</v>
      </c>
      <c r="N84" s="22">
        <v>2260.8000000000002</v>
      </c>
    </row>
    <row r="85" spans="1:14" ht="24.95" customHeight="1">
      <c r="A85" s="3" t="s">
        <v>365</v>
      </c>
      <c r="B85" s="21">
        <v>45160</v>
      </c>
      <c r="C85" s="3" t="s">
        <v>366</v>
      </c>
      <c r="D85" s="3" t="s">
        <v>58</v>
      </c>
      <c r="E85" s="19">
        <v>4</v>
      </c>
      <c r="F85" s="22">
        <v>540.41</v>
      </c>
      <c r="G85" s="3" t="s">
        <v>367</v>
      </c>
      <c r="H85" s="3" t="s">
        <v>34</v>
      </c>
      <c r="I85" s="3" t="s">
        <v>35</v>
      </c>
      <c r="J85" s="3" t="s">
        <v>368</v>
      </c>
      <c r="K85" s="19">
        <v>6</v>
      </c>
      <c r="L85" s="3" t="s">
        <v>1192</v>
      </c>
      <c r="M85" s="3" t="s">
        <v>29</v>
      </c>
      <c r="N85" s="22">
        <v>2161.64</v>
      </c>
    </row>
    <row r="86" spans="1:14" ht="24.95" customHeight="1">
      <c r="A86" s="3" t="s">
        <v>369</v>
      </c>
      <c r="B86" s="21">
        <v>45166</v>
      </c>
      <c r="C86" s="3" t="s">
        <v>370</v>
      </c>
      <c r="D86" s="3" t="s">
        <v>16</v>
      </c>
      <c r="E86" s="19">
        <v>2</v>
      </c>
      <c r="F86" s="22">
        <v>165.49</v>
      </c>
      <c r="G86" s="3" t="s">
        <v>371</v>
      </c>
      <c r="H86" s="3" t="s">
        <v>27</v>
      </c>
      <c r="I86" s="3" t="s">
        <v>19</v>
      </c>
      <c r="J86" s="3" t="s">
        <v>372</v>
      </c>
      <c r="K86" s="19">
        <v>4</v>
      </c>
      <c r="L86" s="3" t="s">
        <v>81</v>
      </c>
      <c r="M86" s="3" t="s">
        <v>22</v>
      </c>
      <c r="N86" s="22">
        <v>330.98</v>
      </c>
    </row>
    <row r="87" spans="1:14" ht="24.95" customHeight="1">
      <c r="A87" s="3" t="s">
        <v>373</v>
      </c>
      <c r="B87" s="21">
        <v>45544</v>
      </c>
      <c r="C87" s="3" t="s">
        <v>374</v>
      </c>
      <c r="D87" s="3" t="s">
        <v>32</v>
      </c>
      <c r="E87" s="19">
        <v>3</v>
      </c>
      <c r="F87" s="22">
        <v>146.72999999999999</v>
      </c>
      <c r="G87" s="3" t="s">
        <v>375</v>
      </c>
      <c r="H87" s="3" t="s">
        <v>65</v>
      </c>
      <c r="I87" s="3" t="s">
        <v>50</v>
      </c>
      <c r="J87" s="3" t="s">
        <v>376</v>
      </c>
      <c r="K87" s="19">
        <v>8</v>
      </c>
      <c r="L87" s="3" t="s">
        <v>37</v>
      </c>
      <c r="M87" s="3" t="s">
        <v>38</v>
      </c>
      <c r="N87" s="22">
        <v>440.18999999999988</v>
      </c>
    </row>
    <row r="88" spans="1:14" ht="24.95" customHeight="1">
      <c r="A88" s="3" t="s">
        <v>377</v>
      </c>
      <c r="B88" s="21">
        <v>45462</v>
      </c>
      <c r="C88" s="3" t="s">
        <v>378</v>
      </c>
      <c r="D88" s="3" t="s">
        <v>48</v>
      </c>
      <c r="E88" s="19">
        <v>5</v>
      </c>
      <c r="F88" s="22">
        <v>643.03</v>
      </c>
      <c r="G88" s="3" t="s">
        <v>379</v>
      </c>
      <c r="H88" s="3" t="s">
        <v>27</v>
      </c>
      <c r="I88" s="3" t="s">
        <v>35</v>
      </c>
      <c r="J88" s="3" t="s">
        <v>380</v>
      </c>
      <c r="K88" s="19">
        <v>5</v>
      </c>
      <c r="L88" s="3" t="s">
        <v>37</v>
      </c>
      <c r="M88" s="3" t="s">
        <v>29</v>
      </c>
      <c r="N88" s="22">
        <v>3215.15</v>
      </c>
    </row>
    <row r="89" spans="1:14" ht="24.95" customHeight="1">
      <c r="A89" s="3" t="s">
        <v>381</v>
      </c>
      <c r="B89" s="21">
        <v>45575</v>
      </c>
      <c r="C89" s="3" t="s">
        <v>382</v>
      </c>
      <c r="D89" s="3" t="s">
        <v>32</v>
      </c>
      <c r="E89" s="19">
        <v>3</v>
      </c>
      <c r="F89" s="22">
        <v>225.11</v>
      </c>
      <c r="G89" s="3" t="s">
        <v>383</v>
      </c>
      <c r="H89" s="3" t="s">
        <v>65</v>
      </c>
      <c r="I89" s="3" t="s">
        <v>19</v>
      </c>
      <c r="J89" s="3" t="s">
        <v>384</v>
      </c>
      <c r="K89" s="19">
        <v>4</v>
      </c>
      <c r="L89" s="3" t="s">
        <v>21</v>
      </c>
      <c r="M89" s="3" t="s">
        <v>45</v>
      </c>
      <c r="N89" s="22">
        <v>675.33</v>
      </c>
    </row>
    <row r="90" spans="1:14" ht="24.95" customHeight="1">
      <c r="A90" s="3" t="s">
        <v>385</v>
      </c>
      <c r="B90" s="21">
        <v>45813</v>
      </c>
      <c r="C90" s="3" t="s">
        <v>386</v>
      </c>
      <c r="D90" s="3" t="s">
        <v>73</v>
      </c>
      <c r="E90" s="19">
        <v>3</v>
      </c>
      <c r="F90" s="22">
        <v>114.81</v>
      </c>
      <c r="G90" s="3" t="s">
        <v>387</v>
      </c>
      <c r="H90" s="3" t="s">
        <v>60</v>
      </c>
      <c r="I90" s="3" t="s">
        <v>35</v>
      </c>
      <c r="J90" s="3" t="s">
        <v>388</v>
      </c>
      <c r="K90" s="19">
        <v>7</v>
      </c>
      <c r="L90" s="3" t="s">
        <v>1192</v>
      </c>
      <c r="M90" s="3" t="s">
        <v>76</v>
      </c>
      <c r="N90" s="22">
        <v>344.43</v>
      </c>
    </row>
    <row r="91" spans="1:14" ht="24.95" customHeight="1">
      <c r="A91" s="3" t="s">
        <v>389</v>
      </c>
      <c r="B91" s="21">
        <v>45713</v>
      </c>
      <c r="C91" s="3" t="s">
        <v>390</v>
      </c>
      <c r="D91" s="3" t="s">
        <v>48</v>
      </c>
      <c r="E91" s="19">
        <v>5</v>
      </c>
      <c r="F91" s="22">
        <v>455.33</v>
      </c>
      <c r="G91" s="3" t="s">
        <v>391</v>
      </c>
      <c r="H91" s="3" t="s">
        <v>34</v>
      </c>
      <c r="I91" s="3" t="s">
        <v>35</v>
      </c>
      <c r="J91" s="3" t="s">
        <v>392</v>
      </c>
      <c r="K91" s="19">
        <v>8</v>
      </c>
      <c r="L91" s="3" t="s">
        <v>37</v>
      </c>
      <c r="M91" s="3" t="s">
        <v>76</v>
      </c>
      <c r="N91" s="22">
        <v>2276.65</v>
      </c>
    </row>
    <row r="92" spans="1:14" ht="24.95" customHeight="1">
      <c r="A92" s="3" t="s">
        <v>393</v>
      </c>
      <c r="B92" s="21">
        <v>45187</v>
      </c>
      <c r="C92" s="3" t="s">
        <v>394</v>
      </c>
      <c r="D92" s="3" t="s">
        <v>41</v>
      </c>
      <c r="E92" s="19">
        <v>4</v>
      </c>
      <c r="F92" s="22">
        <v>182.08</v>
      </c>
      <c r="G92" s="3" t="s">
        <v>395</v>
      </c>
      <c r="H92" s="3" t="s">
        <v>60</v>
      </c>
      <c r="I92" s="3" t="s">
        <v>50</v>
      </c>
      <c r="J92" s="3" t="s">
        <v>396</v>
      </c>
      <c r="K92" s="19">
        <v>4</v>
      </c>
      <c r="L92" s="3" t="s">
        <v>21</v>
      </c>
      <c r="M92" s="3" t="s">
        <v>38</v>
      </c>
      <c r="N92" s="22">
        <v>728.32</v>
      </c>
    </row>
    <row r="93" spans="1:14" ht="24.95" customHeight="1">
      <c r="A93" s="3" t="s">
        <v>397</v>
      </c>
      <c r="B93" s="21">
        <v>45000</v>
      </c>
      <c r="C93" s="3" t="s">
        <v>398</v>
      </c>
      <c r="D93" s="3" t="s">
        <v>58</v>
      </c>
      <c r="E93" s="19">
        <v>5</v>
      </c>
      <c r="F93" s="22">
        <v>492.75</v>
      </c>
      <c r="G93" s="3" t="s">
        <v>399</v>
      </c>
      <c r="H93" s="3" t="s">
        <v>65</v>
      </c>
      <c r="I93" s="3" t="s">
        <v>19</v>
      </c>
      <c r="J93" s="3" t="s">
        <v>400</v>
      </c>
      <c r="K93" s="19">
        <v>6</v>
      </c>
      <c r="L93" s="3" t="s">
        <v>81</v>
      </c>
      <c r="M93" s="3" t="s">
        <v>29</v>
      </c>
      <c r="N93" s="22">
        <v>2463.75</v>
      </c>
    </row>
    <row r="94" spans="1:14" ht="24.95" customHeight="1">
      <c r="A94" s="3" t="s">
        <v>401</v>
      </c>
      <c r="B94" s="21">
        <v>45453</v>
      </c>
      <c r="C94" s="3" t="s">
        <v>402</v>
      </c>
      <c r="D94" s="3" t="s">
        <v>48</v>
      </c>
      <c r="E94" s="19">
        <v>4</v>
      </c>
      <c r="F94" s="22">
        <v>48.61</v>
      </c>
      <c r="G94" s="3" t="s">
        <v>403</v>
      </c>
      <c r="H94" s="3" t="s">
        <v>27</v>
      </c>
      <c r="I94" s="3" t="s">
        <v>19</v>
      </c>
      <c r="J94" s="3" t="s">
        <v>404</v>
      </c>
      <c r="K94" s="19">
        <v>7</v>
      </c>
      <c r="L94" s="3" t="s">
        <v>37</v>
      </c>
      <c r="M94" s="3" t="s">
        <v>45</v>
      </c>
      <c r="N94" s="22">
        <v>194.44</v>
      </c>
    </row>
    <row r="95" spans="1:14" ht="24.95" customHeight="1">
      <c r="A95" s="3" t="s">
        <v>405</v>
      </c>
      <c r="B95" s="21">
        <v>44940</v>
      </c>
      <c r="C95" s="3" t="s">
        <v>406</v>
      </c>
      <c r="D95" s="3" t="s">
        <v>73</v>
      </c>
      <c r="E95" s="19">
        <v>4</v>
      </c>
      <c r="F95" s="22">
        <v>431.01</v>
      </c>
      <c r="G95" s="3" t="s">
        <v>407</v>
      </c>
      <c r="H95" s="3" t="s">
        <v>34</v>
      </c>
      <c r="I95" s="3" t="s">
        <v>43</v>
      </c>
      <c r="J95" s="3" t="s">
        <v>408</v>
      </c>
      <c r="K95" s="19">
        <v>7</v>
      </c>
      <c r="L95" s="3" t="s">
        <v>1192</v>
      </c>
      <c r="M95" s="3" t="s">
        <v>29</v>
      </c>
      <c r="N95" s="22">
        <v>1724.04</v>
      </c>
    </row>
    <row r="96" spans="1:14" ht="24.95" customHeight="1">
      <c r="A96" s="3" t="s">
        <v>409</v>
      </c>
      <c r="B96" s="21">
        <v>44968</v>
      </c>
      <c r="C96" s="3" t="s">
        <v>410</v>
      </c>
      <c r="D96" s="3" t="s">
        <v>41</v>
      </c>
      <c r="E96" s="19">
        <v>1</v>
      </c>
      <c r="F96" s="22">
        <v>531.17999999999995</v>
      </c>
      <c r="G96" s="3" t="s">
        <v>411</v>
      </c>
      <c r="H96" s="3" t="s">
        <v>60</v>
      </c>
      <c r="I96" s="3" t="s">
        <v>43</v>
      </c>
      <c r="J96" s="3" t="s">
        <v>412</v>
      </c>
      <c r="K96" s="19">
        <v>6</v>
      </c>
      <c r="L96" s="3" t="s">
        <v>81</v>
      </c>
      <c r="M96" s="3" t="s">
        <v>22</v>
      </c>
      <c r="N96" s="22">
        <v>531.17999999999995</v>
      </c>
    </row>
    <row r="97" spans="1:14" ht="24.95" customHeight="1">
      <c r="A97" s="3" t="s">
        <v>413</v>
      </c>
      <c r="B97" s="21">
        <v>45009</v>
      </c>
      <c r="C97" s="3" t="s">
        <v>414</v>
      </c>
      <c r="D97" s="3" t="s">
        <v>48</v>
      </c>
      <c r="E97" s="19">
        <v>4</v>
      </c>
      <c r="F97" s="22">
        <v>117.51</v>
      </c>
      <c r="G97" s="3" t="s">
        <v>415</v>
      </c>
      <c r="H97" s="3" t="s">
        <v>18</v>
      </c>
      <c r="I97" s="3" t="s">
        <v>43</v>
      </c>
      <c r="J97" s="3" t="s">
        <v>416</v>
      </c>
      <c r="K97" s="19">
        <v>7</v>
      </c>
      <c r="L97" s="3" t="s">
        <v>1192</v>
      </c>
      <c r="M97" s="3" t="s">
        <v>29</v>
      </c>
      <c r="N97" s="22">
        <v>470.04</v>
      </c>
    </row>
    <row r="98" spans="1:14" ht="24.95" customHeight="1">
      <c r="A98" s="3" t="s">
        <v>417</v>
      </c>
      <c r="B98" s="21">
        <v>45444</v>
      </c>
      <c r="C98" s="3" t="s">
        <v>418</v>
      </c>
      <c r="D98" s="3" t="s">
        <v>25</v>
      </c>
      <c r="E98" s="19">
        <v>2</v>
      </c>
      <c r="F98" s="22">
        <v>232.83</v>
      </c>
      <c r="G98" s="3" t="s">
        <v>351</v>
      </c>
      <c r="H98" s="3" t="s">
        <v>60</v>
      </c>
      <c r="I98" s="3" t="s">
        <v>50</v>
      </c>
      <c r="J98" s="3" t="s">
        <v>419</v>
      </c>
      <c r="K98" s="19">
        <v>7</v>
      </c>
      <c r="L98" s="3" t="s">
        <v>1192</v>
      </c>
      <c r="M98" s="3" t="s">
        <v>22</v>
      </c>
      <c r="N98" s="22">
        <v>465.66</v>
      </c>
    </row>
    <row r="99" spans="1:14" ht="24.95" customHeight="1">
      <c r="A99" s="3" t="s">
        <v>420</v>
      </c>
      <c r="B99" s="21">
        <v>45678</v>
      </c>
      <c r="C99" s="3" t="s">
        <v>421</v>
      </c>
      <c r="D99" s="3" t="s">
        <v>32</v>
      </c>
      <c r="E99" s="19">
        <v>5</v>
      </c>
      <c r="F99" s="22">
        <v>619.52</v>
      </c>
      <c r="G99" s="3" t="s">
        <v>422</v>
      </c>
      <c r="H99" s="3" t="s">
        <v>18</v>
      </c>
      <c r="I99" s="3" t="s">
        <v>89</v>
      </c>
      <c r="J99" s="3" t="s">
        <v>423</v>
      </c>
      <c r="K99" s="19">
        <v>9</v>
      </c>
      <c r="L99" s="3" t="s">
        <v>1192</v>
      </c>
      <c r="M99" s="3" t="s">
        <v>38</v>
      </c>
      <c r="N99" s="22">
        <v>3097.6</v>
      </c>
    </row>
    <row r="100" spans="1:14" ht="24.95" customHeight="1">
      <c r="A100" s="3" t="s">
        <v>424</v>
      </c>
      <c r="B100" s="21">
        <v>44940</v>
      </c>
      <c r="C100" s="3" t="s">
        <v>425</v>
      </c>
      <c r="D100" s="3" t="s">
        <v>48</v>
      </c>
      <c r="E100" s="19">
        <v>2</v>
      </c>
      <c r="F100" s="22">
        <v>228.54</v>
      </c>
      <c r="G100" s="3" t="s">
        <v>426</v>
      </c>
      <c r="H100" s="3" t="s">
        <v>18</v>
      </c>
      <c r="I100" s="3" t="s">
        <v>89</v>
      </c>
      <c r="J100" s="3" t="s">
        <v>427</v>
      </c>
      <c r="K100" s="19">
        <v>3</v>
      </c>
      <c r="L100" s="3" t="s">
        <v>1192</v>
      </c>
      <c r="M100" s="3" t="s">
        <v>38</v>
      </c>
      <c r="N100" s="22">
        <v>457.08</v>
      </c>
    </row>
    <row r="101" spans="1:14" ht="24.95" customHeight="1">
      <c r="A101" s="3" t="s">
        <v>428</v>
      </c>
      <c r="B101" s="21">
        <v>45759</v>
      </c>
      <c r="C101" s="3" t="s">
        <v>429</v>
      </c>
      <c r="D101" s="3" t="s">
        <v>48</v>
      </c>
      <c r="E101" s="19">
        <v>1</v>
      </c>
      <c r="F101" s="22">
        <v>201.58</v>
      </c>
      <c r="G101" s="3" t="s">
        <v>430</v>
      </c>
      <c r="H101" s="3" t="s">
        <v>18</v>
      </c>
      <c r="I101" s="3" t="s">
        <v>35</v>
      </c>
      <c r="J101" s="3" t="s">
        <v>431</v>
      </c>
      <c r="K101" s="19">
        <v>2</v>
      </c>
      <c r="L101" s="3" t="s">
        <v>81</v>
      </c>
      <c r="M101" s="3" t="s">
        <v>38</v>
      </c>
      <c r="N101" s="22">
        <v>201.58</v>
      </c>
    </row>
    <row r="102" spans="1:14" ht="24.95" customHeight="1">
      <c r="A102" s="3" t="s">
        <v>432</v>
      </c>
      <c r="B102" s="21">
        <v>44974</v>
      </c>
      <c r="C102" s="3" t="s">
        <v>433</v>
      </c>
      <c r="D102" s="3" t="s">
        <v>25</v>
      </c>
      <c r="E102" s="19">
        <v>3</v>
      </c>
      <c r="F102" s="22">
        <v>664.79</v>
      </c>
      <c r="G102" s="3" t="s">
        <v>434</v>
      </c>
      <c r="H102" s="3" t="s">
        <v>27</v>
      </c>
      <c r="I102" s="3" t="s">
        <v>50</v>
      </c>
      <c r="J102" s="3" t="s">
        <v>435</v>
      </c>
      <c r="K102" s="19">
        <v>6</v>
      </c>
      <c r="L102" s="3" t="s">
        <v>1192</v>
      </c>
      <c r="M102" s="3" t="s">
        <v>45</v>
      </c>
      <c r="N102" s="22">
        <v>1994.37</v>
      </c>
    </row>
    <row r="103" spans="1:14" ht="24.95" customHeight="1">
      <c r="A103" s="3" t="s">
        <v>436</v>
      </c>
      <c r="B103" s="21">
        <v>45255</v>
      </c>
      <c r="C103" s="3" t="s">
        <v>437</v>
      </c>
      <c r="D103" s="3" t="s">
        <v>48</v>
      </c>
      <c r="E103" s="19">
        <v>1</v>
      </c>
      <c r="F103" s="22">
        <v>381.02</v>
      </c>
      <c r="G103" s="3" t="s">
        <v>438</v>
      </c>
      <c r="H103" s="3" t="s">
        <v>65</v>
      </c>
      <c r="I103" s="3" t="s">
        <v>19</v>
      </c>
      <c r="J103" s="3" t="s">
        <v>439</v>
      </c>
      <c r="K103" s="19">
        <v>6</v>
      </c>
      <c r="L103" s="3" t="s">
        <v>1192</v>
      </c>
      <c r="M103" s="3" t="s">
        <v>76</v>
      </c>
      <c r="N103" s="22">
        <v>381.02</v>
      </c>
    </row>
    <row r="104" spans="1:14" ht="24.95" customHeight="1">
      <c r="A104" s="3" t="s">
        <v>440</v>
      </c>
      <c r="B104" s="21">
        <v>44993</v>
      </c>
      <c r="C104" s="3" t="s">
        <v>441</v>
      </c>
      <c r="D104" s="3" t="s">
        <v>58</v>
      </c>
      <c r="E104" s="19">
        <v>2</v>
      </c>
      <c r="F104" s="22">
        <v>70.34</v>
      </c>
      <c r="G104" s="3" t="s">
        <v>442</v>
      </c>
      <c r="H104" s="3" t="s">
        <v>60</v>
      </c>
      <c r="I104" s="3" t="s">
        <v>35</v>
      </c>
      <c r="J104" s="3" t="s">
        <v>443</v>
      </c>
      <c r="K104" s="19">
        <v>3</v>
      </c>
      <c r="L104" s="3" t="s">
        <v>37</v>
      </c>
      <c r="M104" s="3" t="s">
        <v>38</v>
      </c>
      <c r="N104" s="22">
        <v>140.68</v>
      </c>
    </row>
    <row r="105" spans="1:14" ht="24.95" customHeight="1">
      <c r="A105" s="3" t="s">
        <v>444</v>
      </c>
      <c r="B105" s="21">
        <v>45682</v>
      </c>
      <c r="C105" s="3" t="s">
        <v>445</v>
      </c>
      <c r="D105" s="3" t="s">
        <v>25</v>
      </c>
      <c r="E105" s="19">
        <v>4</v>
      </c>
      <c r="F105" s="22">
        <v>218.43</v>
      </c>
      <c r="G105" s="3" t="s">
        <v>446</v>
      </c>
      <c r="H105" s="3" t="s">
        <v>34</v>
      </c>
      <c r="I105" s="3" t="s">
        <v>35</v>
      </c>
      <c r="J105" s="3" t="s">
        <v>447</v>
      </c>
      <c r="K105" s="19">
        <v>9</v>
      </c>
      <c r="L105" s="3" t="s">
        <v>21</v>
      </c>
      <c r="M105" s="3" t="s">
        <v>38</v>
      </c>
      <c r="N105" s="22">
        <v>873.72</v>
      </c>
    </row>
    <row r="106" spans="1:14" ht="24.95" customHeight="1">
      <c r="A106" s="3" t="s">
        <v>448</v>
      </c>
      <c r="B106" s="21">
        <v>45503</v>
      </c>
      <c r="C106" s="3" t="s">
        <v>449</v>
      </c>
      <c r="D106" s="3" t="s">
        <v>25</v>
      </c>
      <c r="E106" s="19">
        <v>1</v>
      </c>
      <c r="F106" s="22">
        <v>582.04</v>
      </c>
      <c r="G106" s="3" t="s">
        <v>450</v>
      </c>
      <c r="H106" s="3" t="s">
        <v>60</v>
      </c>
      <c r="I106" s="3" t="s">
        <v>50</v>
      </c>
      <c r="J106" s="3" t="s">
        <v>451</v>
      </c>
      <c r="K106" s="19">
        <v>1</v>
      </c>
      <c r="L106" s="3" t="s">
        <v>37</v>
      </c>
      <c r="M106" s="3" t="s">
        <v>38</v>
      </c>
      <c r="N106" s="22">
        <v>582.04</v>
      </c>
    </row>
    <row r="107" spans="1:14" ht="24.95" customHeight="1">
      <c r="A107" s="3" t="s">
        <v>452</v>
      </c>
      <c r="B107" s="21">
        <v>45589</v>
      </c>
      <c r="C107" s="3" t="s">
        <v>453</v>
      </c>
      <c r="D107" s="3" t="s">
        <v>48</v>
      </c>
      <c r="E107" s="19">
        <v>3</v>
      </c>
      <c r="F107" s="22">
        <v>185.4</v>
      </c>
      <c r="G107" s="3" t="s">
        <v>454</v>
      </c>
      <c r="H107" s="3" t="s">
        <v>60</v>
      </c>
      <c r="I107" s="3" t="s">
        <v>35</v>
      </c>
      <c r="J107" s="3" t="s">
        <v>455</v>
      </c>
      <c r="K107" s="19">
        <v>7</v>
      </c>
      <c r="L107" s="3" t="s">
        <v>1192</v>
      </c>
      <c r="M107" s="3" t="s">
        <v>45</v>
      </c>
      <c r="N107" s="22">
        <v>556.20000000000005</v>
      </c>
    </row>
    <row r="108" spans="1:14" ht="24.95" customHeight="1">
      <c r="A108" s="3" t="s">
        <v>456</v>
      </c>
      <c r="B108" s="21">
        <v>45177</v>
      </c>
      <c r="C108" s="3" t="s">
        <v>457</v>
      </c>
      <c r="D108" s="3" t="s">
        <v>73</v>
      </c>
      <c r="E108" s="19">
        <v>3</v>
      </c>
      <c r="F108" s="22">
        <v>465.05</v>
      </c>
      <c r="G108" s="3" t="s">
        <v>458</v>
      </c>
      <c r="H108" s="3" t="s">
        <v>34</v>
      </c>
      <c r="I108" s="3" t="s">
        <v>35</v>
      </c>
      <c r="J108" s="3" t="s">
        <v>459</v>
      </c>
      <c r="K108" s="19">
        <v>3</v>
      </c>
      <c r="L108" s="3" t="s">
        <v>21</v>
      </c>
      <c r="M108" s="3" t="s">
        <v>38</v>
      </c>
      <c r="N108" s="22">
        <v>1395.15</v>
      </c>
    </row>
    <row r="109" spans="1:14" ht="24.95" customHeight="1">
      <c r="A109" s="3" t="s">
        <v>460</v>
      </c>
      <c r="B109" s="21">
        <v>45012</v>
      </c>
      <c r="C109" s="3" t="s">
        <v>461</v>
      </c>
      <c r="D109" s="3" t="s">
        <v>48</v>
      </c>
      <c r="E109" s="19">
        <v>5</v>
      </c>
      <c r="F109" s="22">
        <v>670.75</v>
      </c>
      <c r="G109" s="3" t="s">
        <v>462</v>
      </c>
      <c r="H109" s="3" t="s">
        <v>60</v>
      </c>
      <c r="I109" s="3" t="s">
        <v>19</v>
      </c>
      <c r="J109" s="3" t="s">
        <v>463</v>
      </c>
      <c r="K109" s="19">
        <v>8</v>
      </c>
      <c r="L109" s="3" t="s">
        <v>37</v>
      </c>
      <c r="M109" s="3" t="s">
        <v>22</v>
      </c>
      <c r="N109" s="22">
        <v>3353.75</v>
      </c>
    </row>
    <row r="110" spans="1:14" ht="24.95" customHeight="1">
      <c r="A110" s="3" t="s">
        <v>464</v>
      </c>
      <c r="B110" s="21">
        <v>45654</v>
      </c>
      <c r="C110" s="3" t="s">
        <v>465</v>
      </c>
      <c r="D110" s="3" t="s">
        <v>58</v>
      </c>
      <c r="E110" s="19">
        <v>5</v>
      </c>
      <c r="F110" s="22">
        <v>48.38</v>
      </c>
      <c r="G110" s="3" t="s">
        <v>466</v>
      </c>
      <c r="H110" s="3" t="s">
        <v>60</v>
      </c>
      <c r="I110" s="3" t="s">
        <v>50</v>
      </c>
      <c r="J110" s="3" t="s">
        <v>467</v>
      </c>
      <c r="K110" s="19">
        <v>9</v>
      </c>
      <c r="L110" s="3" t="s">
        <v>81</v>
      </c>
      <c r="M110" s="3" t="s">
        <v>38</v>
      </c>
      <c r="N110" s="22">
        <v>241.9</v>
      </c>
    </row>
    <row r="111" spans="1:14" ht="24.95" customHeight="1">
      <c r="A111" s="3" t="s">
        <v>468</v>
      </c>
      <c r="B111" s="21">
        <v>45186</v>
      </c>
      <c r="C111" s="3" t="s">
        <v>469</v>
      </c>
      <c r="D111" s="3" t="s">
        <v>73</v>
      </c>
      <c r="E111" s="19">
        <v>3</v>
      </c>
      <c r="F111" s="22">
        <v>592.87</v>
      </c>
      <c r="G111" s="3" t="s">
        <v>470</v>
      </c>
      <c r="H111" s="3" t="s">
        <v>60</v>
      </c>
      <c r="I111" s="3" t="s">
        <v>19</v>
      </c>
      <c r="J111" s="3" t="s">
        <v>471</v>
      </c>
      <c r="K111" s="19">
        <v>3</v>
      </c>
      <c r="L111" s="3" t="s">
        <v>37</v>
      </c>
      <c r="M111" s="3" t="s">
        <v>29</v>
      </c>
      <c r="N111" s="22">
        <v>1778.61</v>
      </c>
    </row>
    <row r="112" spans="1:14" ht="24.95" customHeight="1">
      <c r="A112" s="3" t="s">
        <v>472</v>
      </c>
      <c r="B112" s="21">
        <v>45403</v>
      </c>
      <c r="C112" s="3" t="s">
        <v>473</v>
      </c>
      <c r="D112" s="3" t="s">
        <v>32</v>
      </c>
      <c r="E112" s="19">
        <v>1</v>
      </c>
      <c r="F112" s="22">
        <v>220.77</v>
      </c>
      <c r="G112" s="3" t="s">
        <v>474</v>
      </c>
      <c r="H112" s="3" t="s">
        <v>60</v>
      </c>
      <c r="I112" s="3" t="s">
        <v>89</v>
      </c>
      <c r="J112" s="3" t="s">
        <v>475</v>
      </c>
      <c r="K112" s="19">
        <v>5</v>
      </c>
      <c r="L112" s="3" t="s">
        <v>37</v>
      </c>
      <c r="M112" s="3" t="s">
        <v>22</v>
      </c>
      <c r="N112" s="22">
        <v>220.77</v>
      </c>
    </row>
    <row r="113" spans="1:14" ht="24.95" customHeight="1">
      <c r="A113" s="3" t="s">
        <v>476</v>
      </c>
      <c r="B113" s="21">
        <v>45784</v>
      </c>
      <c r="C113" s="3" t="s">
        <v>477</v>
      </c>
      <c r="D113" s="3" t="s">
        <v>73</v>
      </c>
      <c r="E113" s="19">
        <v>3</v>
      </c>
      <c r="F113" s="22">
        <v>309.22000000000003</v>
      </c>
      <c r="G113" s="3" t="s">
        <v>478</v>
      </c>
      <c r="H113" s="3" t="s">
        <v>27</v>
      </c>
      <c r="I113" s="3" t="s">
        <v>35</v>
      </c>
      <c r="J113" s="3" t="s">
        <v>479</v>
      </c>
      <c r="K113" s="19">
        <v>7</v>
      </c>
      <c r="L113" s="3" t="s">
        <v>37</v>
      </c>
      <c r="M113" s="3" t="s">
        <v>76</v>
      </c>
      <c r="N113" s="22">
        <v>927.66000000000008</v>
      </c>
    </row>
    <row r="114" spans="1:14" ht="24.95" customHeight="1">
      <c r="A114" s="3" t="s">
        <v>480</v>
      </c>
      <c r="B114" s="21">
        <v>44927</v>
      </c>
      <c r="C114" s="3" t="s">
        <v>481</v>
      </c>
      <c r="D114" s="3" t="s">
        <v>16</v>
      </c>
      <c r="E114" s="19">
        <v>1</v>
      </c>
      <c r="F114" s="22">
        <v>410.6</v>
      </c>
      <c r="G114" s="3" t="s">
        <v>482</v>
      </c>
      <c r="H114" s="3" t="s">
        <v>27</v>
      </c>
      <c r="I114" s="3" t="s">
        <v>35</v>
      </c>
      <c r="J114" s="3" t="s">
        <v>483</v>
      </c>
      <c r="K114" s="19">
        <v>2</v>
      </c>
      <c r="L114" s="3" t="s">
        <v>81</v>
      </c>
      <c r="M114" s="3" t="s">
        <v>29</v>
      </c>
      <c r="N114" s="22">
        <v>410.6</v>
      </c>
    </row>
    <row r="115" spans="1:14" ht="24.95" customHeight="1">
      <c r="A115" s="3" t="s">
        <v>484</v>
      </c>
      <c r="B115" s="21">
        <v>45308</v>
      </c>
      <c r="C115" s="3" t="s">
        <v>485</v>
      </c>
      <c r="D115" s="3" t="s">
        <v>58</v>
      </c>
      <c r="E115" s="19">
        <v>5</v>
      </c>
      <c r="F115" s="22">
        <v>190.08</v>
      </c>
      <c r="G115" s="3" t="s">
        <v>486</v>
      </c>
      <c r="H115" s="3" t="s">
        <v>65</v>
      </c>
      <c r="I115" s="3" t="s">
        <v>19</v>
      </c>
      <c r="J115" s="3" t="s">
        <v>487</v>
      </c>
      <c r="K115" s="19">
        <v>9</v>
      </c>
      <c r="L115" s="3" t="s">
        <v>37</v>
      </c>
      <c r="M115" s="3" t="s">
        <v>22</v>
      </c>
      <c r="N115" s="22">
        <v>950.40000000000009</v>
      </c>
    </row>
    <row r="116" spans="1:14" ht="24.95" customHeight="1">
      <c r="A116" s="3" t="s">
        <v>488</v>
      </c>
      <c r="B116" s="21">
        <v>45684</v>
      </c>
      <c r="C116" s="3" t="s">
        <v>489</v>
      </c>
      <c r="D116" s="3" t="s">
        <v>16</v>
      </c>
      <c r="E116" s="19">
        <v>5</v>
      </c>
      <c r="F116" s="22">
        <v>498.48</v>
      </c>
      <c r="G116" s="3" t="s">
        <v>490</v>
      </c>
      <c r="H116" s="3" t="s">
        <v>27</v>
      </c>
      <c r="I116" s="3" t="s">
        <v>89</v>
      </c>
      <c r="J116" s="3" t="s">
        <v>491</v>
      </c>
      <c r="K116" s="19">
        <v>8</v>
      </c>
      <c r="L116" s="3" t="s">
        <v>21</v>
      </c>
      <c r="M116" s="3" t="s">
        <v>76</v>
      </c>
      <c r="N116" s="22">
        <v>2492.4</v>
      </c>
    </row>
    <row r="117" spans="1:14" ht="24.95" customHeight="1">
      <c r="A117" s="3" t="s">
        <v>492</v>
      </c>
      <c r="B117" s="21">
        <v>45257</v>
      </c>
      <c r="C117" s="3" t="s">
        <v>493</v>
      </c>
      <c r="D117" s="3" t="s">
        <v>25</v>
      </c>
      <c r="E117" s="19">
        <v>5</v>
      </c>
      <c r="F117" s="22">
        <v>374.99</v>
      </c>
      <c r="G117" s="3" t="s">
        <v>494</v>
      </c>
      <c r="H117" s="3" t="s">
        <v>27</v>
      </c>
      <c r="I117" s="3" t="s">
        <v>19</v>
      </c>
      <c r="J117" s="3" t="s">
        <v>495</v>
      </c>
      <c r="K117" s="19">
        <v>9</v>
      </c>
      <c r="L117" s="3" t="s">
        <v>21</v>
      </c>
      <c r="M117" s="3" t="s">
        <v>45</v>
      </c>
      <c r="N117" s="22">
        <v>1874.95</v>
      </c>
    </row>
    <row r="118" spans="1:14" ht="24.95" customHeight="1">
      <c r="A118" s="3" t="s">
        <v>496</v>
      </c>
      <c r="B118" s="21">
        <v>45004</v>
      </c>
      <c r="C118" s="3" t="s">
        <v>497</v>
      </c>
      <c r="D118" s="3" t="s">
        <v>48</v>
      </c>
      <c r="E118" s="19">
        <v>4</v>
      </c>
      <c r="F118" s="22">
        <v>291.35000000000002</v>
      </c>
      <c r="G118" s="3" t="s">
        <v>498</v>
      </c>
      <c r="H118" s="3" t="s">
        <v>34</v>
      </c>
      <c r="I118" s="3" t="s">
        <v>35</v>
      </c>
      <c r="J118" s="3" t="s">
        <v>499</v>
      </c>
      <c r="K118" s="19">
        <v>6</v>
      </c>
      <c r="L118" s="3" t="s">
        <v>81</v>
      </c>
      <c r="M118" s="3" t="s">
        <v>45</v>
      </c>
      <c r="N118" s="22">
        <v>1165.4000000000001</v>
      </c>
    </row>
    <row r="119" spans="1:14" ht="24.95" customHeight="1">
      <c r="A119" s="3" t="s">
        <v>500</v>
      </c>
      <c r="B119" s="21">
        <v>44993</v>
      </c>
      <c r="C119" s="3" t="s">
        <v>501</v>
      </c>
      <c r="D119" s="3" t="s">
        <v>32</v>
      </c>
      <c r="E119" s="19">
        <v>1</v>
      </c>
      <c r="F119" s="22">
        <v>535.5</v>
      </c>
      <c r="G119" s="3" t="s">
        <v>502</v>
      </c>
      <c r="H119" s="3" t="s">
        <v>60</v>
      </c>
      <c r="I119" s="3" t="s">
        <v>35</v>
      </c>
      <c r="J119" s="3" t="s">
        <v>503</v>
      </c>
      <c r="K119" s="19">
        <v>5</v>
      </c>
      <c r="L119" s="3" t="s">
        <v>81</v>
      </c>
      <c r="M119" s="3" t="s">
        <v>29</v>
      </c>
      <c r="N119" s="22">
        <v>535.5</v>
      </c>
    </row>
    <row r="120" spans="1:14" ht="24.95" customHeight="1">
      <c r="A120" s="3" t="s">
        <v>504</v>
      </c>
      <c r="B120" s="21">
        <v>45208</v>
      </c>
      <c r="C120" s="3" t="s">
        <v>505</v>
      </c>
      <c r="D120" s="3" t="s">
        <v>48</v>
      </c>
      <c r="E120" s="19">
        <v>5</v>
      </c>
      <c r="F120" s="22">
        <v>502.71</v>
      </c>
      <c r="G120" s="3" t="s">
        <v>506</v>
      </c>
      <c r="H120" s="3" t="s">
        <v>60</v>
      </c>
      <c r="I120" s="3" t="s">
        <v>19</v>
      </c>
      <c r="J120" s="3" t="s">
        <v>507</v>
      </c>
      <c r="K120" s="19">
        <v>7</v>
      </c>
      <c r="L120" s="3" t="s">
        <v>37</v>
      </c>
      <c r="M120" s="3" t="s">
        <v>76</v>
      </c>
      <c r="N120" s="22">
        <v>2513.5500000000002</v>
      </c>
    </row>
    <row r="121" spans="1:14" ht="24.95" customHeight="1">
      <c r="A121" s="3" t="s">
        <v>508</v>
      </c>
      <c r="B121" s="21">
        <v>45819</v>
      </c>
      <c r="C121" s="3" t="s">
        <v>509</v>
      </c>
      <c r="D121" s="3" t="s">
        <v>73</v>
      </c>
      <c r="E121" s="19">
        <v>2</v>
      </c>
      <c r="F121" s="22">
        <v>534.66999999999996</v>
      </c>
      <c r="G121" s="3" t="s">
        <v>510</v>
      </c>
      <c r="H121" s="3" t="s">
        <v>18</v>
      </c>
      <c r="I121" s="3" t="s">
        <v>19</v>
      </c>
      <c r="J121" s="3" t="s">
        <v>511</v>
      </c>
      <c r="K121" s="19">
        <v>7</v>
      </c>
      <c r="L121" s="3" t="s">
        <v>37</v>
      </c>
      <c r="M121" s="3" t="s">
        <v>29</v>
      </c>
      <c r="N121" s="22">
        <v>1069.3399999999999</v>
      </c>
    </row>
    <row r="122" spans="1:14" ht="24.95" customHeight="1">
      <c r="A122" s="3" t="s">
        <v>512</v>
      </c>
      <c r="B122" s="21">
        <v>45027</v>
      </c>
      <c r="C122" s="3" t="s">
        <v>513</v>
      </c>
      <c r="D122" s="3" t="s">
        <v>32</v>
      </c>
      <c r="E122" s="19">
        <v>4</v>
      </c>
      <c r="F122" s="22">
        <v>629.34</v>
      </c>
      <c r="G122" s="3" t="s">
        <v>59</v>
      </c>
      <c r="H122" s="3" t="s">
        <v>65</v>
      </c>
      <c r="I122" s="3" t="s">
        <v>35</v>
      </c>
      <c r="J122" s="3" t="s">
        <v>514</v>
      </c>
      <c r="K122" s="19">
        <v>4</v>
      </c>
      <c r="L122" s="3" t="s">
        <v>81</v>
      </c>
      <c r="M122" s="3" t="s">
        <v>22</v>
      </c>
      <c r="N122" s="22">
        <v>2517.36</v>
      </c>
    </row>
    <row r="123" spans="1:14" ht="24.95" customHeight="1">
      <c r="A123" s="3" t="s">
        <v>515</v>
      </c>
      <c r="B123" s="21">
        <v>45260</v>
      </c>
      <c r="C123" s="3" t="s">
        <v>516</v>
      </c>
      <c r="D123" s="3" t="s">
        <v>73</v>
      </c>
      <c r="E123" s="19">
        <v>1</v>
      </c>
      <c r="F123" s="22">
        <v>410.78</v>
      </c>
      <c r="G123" s="3" t="s">
        <v>517</v>
      </c>
      <c r="H123" s="3" t="s">
        <v>65</v>
      </c>
      <c r="I123" s="3" t="s">
        <v>35</v>
      </c>
      <c r="J123" s="3" t="s">
        <v>518</v>
      </c>
      <c r="K123" s="19">
        <v>1</v>
      </c>
      <c r="L123" s="3" t="s">
        <v>37</v>
      </c>
      <c r="M123" s="3" t="s">
        <v>22</v>
      </c>
      <c r="N123" s="22">
        <v>410.78</v>
      </c>
    </row>
    <row r="124" spans="1:14" ht="24.95" customHeight="1">
      <c r="A124" s="3" t="s">
        <v>519</v>
      </c>
      <c r="B124" s="21">
        <v>45397</v>
      </c>
      <c r="C124" s="3" t="s">
        <v>520</v>
      </c>
      <c r="D124" s="3" t="s">
        <v>58</v>
      </c>
      <c r="E124" s="19">
        <v>2</v>
      </c>
      <c r="F124" s="22">
        <v>533.02</v>
      </c>
      <c r="G124" s="3" t="s">
        <v>521</v>
      </c>
      <c r="H124" s="3" t="s">
        <v>60</v>
      </c>
      <c r="I124" s="3" t="s">
        <v>19</v>
      </c>
      <c r="J124" s="3" t="s">
        <v>522</v>
      </c>
      <c r="K124" s="19">
        <v>2</v>
      </c>
      <c r="L124" s="3" t="s">
        <v>1192</v>
      </c>
      <c r="M124" s="3" t="s">
        <v>45</v>
      </c>
      <c r="N124" s="22">
        <v>1066.04</v>
      </c>
    </row>
    <row r="125" spans="1:14" ht="24.95" customHeight="1">
      <c r="A125" s="3" t="s">
        <v>523</v>
      </c>
      <c r="B125" s="21">
        <v>45113</v>
      </c>
      <c r="C125" s="3" t="s">
        <v>524</v>
      </c>
      <c r="D125" s="3" t="s">
        <v>73</v>
      </c>
      <c r="E125" s="19">
        <v>3</v>
      </c>
      <c r="F125" s="22">
        <v>278.04000000000002</v>
      </c>
      <c r="G125" s="3" t="s">
        <v>525</v>
      </c>
      <c r="H125" s="3" t="s">
        <v>27</v>
      </c>
      <c r="I125" s="3" t="s">
        <v>50</v>
      </c>
      <c r="J125" s="3" t="s">
        <v>526</v>
      </c>
      <c r="K125" s="19">
        <v>5</v>
      </c>
      <c r="L125" s="3" t="s">
        <v>1192</v>
      </c>
      <c r="M125" s="3" t="s">
        <v>22</v>
      </c>
      <c r="N125" s="22">
        <v>834.12000000000012</v>
      </c>
    </row>
    <row r="126" spans="1:14" ht="24.95" customHeight="1">
      <c r="A126" s="3" t="s">
        <v>527</v>
      </c>
      <c r="B126" s="21">
        <v>45501</v>
      </c>
      <c r="C126" s="3" t="s">
        <v>528</v>
      </c>
      <c r="D126" s="3" t="s">
        <v>48</v>
      </c>
      <c r="E126" s="19">
        <v>4</v>
      </c>
      <c r="F126" s="22">
        <v>283.79000000000002</v>
      </c>
      <c r="G126" s="3" t="s">
        <v>529</v>
      </c>
      <c r="H126" s="3" t="s">
        <v>27</v>
      </c>
      <c r="I126" s="3" t="s">
        <v>89</v>
      </c>
      <c r="J126" s="3" t="s">
        <v>530</v>
      </c>
      <c r="K126" s="19">
        <v>8</v>
      </c>
      <c r="L126" s="3" t="s">
        <v>1192</v>
      </c>
      <c r="M126" s="3" t="s">
        <v>76</v>
      </c>
      <c r="N126" s="22">
        <v>1135.1600000000001</v>
      </c>
    </row>
    <row r="127" spans="1:14" ht="24.95" customHeight="1">
      <c r="A127" s="3" t="s">
        <v>531</v>
      </c>
      <c r="B127" s="21">
        <v>45602</v>
      </c>
      <c r="C127" s="3" t="s">
        <v>532</v>
      </c>
      <c r="D127" s="3" t="s">
        <v>25</v>
      </c>
      <c r="E127" s="19">
        <v>2</v>
      </c>
      <c r="F127" s="22">
        <v>512.65</v>
      </c>
      <c r="G127" s="3" t="s">
        <v>533</v>
      </c>
      <c r="H127" s="3" t="s">
        <v>34</v>
      </c>
      <c r="I127" s="3" t="s">
        <v>19</v>
      </c>
      <c r="J127" s="3" t="s">
        <v>534</v>
      </c>
      <c r="K127" s="19">
        <v>5</v>
      </c>
      <c r="L127" s="3" t="s">
        <v>21</v>
      </c>
      <c r="M127" s="3" t="s">
        <v>38</v>
      </c>
      <c r="N127" s="22">
        <v>1025.3</v>
      </c>
    </row>
    <row r="128" spans="1:14" ht="24.95" customHeight="1">
      <c r="A128" s="3" t="s">
        <v>535</v>
      </c>
      <c r="B128" s="21">
        <v>45780</v>
      </c>
      <c r="C128" s="3" t="s">
        <v>536</v>
      </c>
      <c r="D128" s="3" t="s">
        <v>73</v>
      </c>
      <c r="E128" s="19">
        <v>4</v>
      </c>
      <c r="F128" s="22">
        <v>275.5</v>
      </c>
      <c r="G128" s="3" t="s">
        <v>537</v>
      </c>
      <c r="H128" s="3" t="s">
        <v>60</v>
      </c>
      <c r="I128" s="3" t="s">
        <v>19</v>
      </c>
      <c r="J128" s="3" t="s">
        <v>538</v>
      </c>
      <c r="K128" s="19">
        <v>8</v>
      </c>
      <c r="L128" s="3" t="s">
        <v>37</v>
      </c>
      <c r="M128" s="3" t="s">
        <v>76</v>
      </c>
      <c r="N128" s="22">
        <v>1102</v>
      </c>
    </row>
    <row r="129" spans="1:14" ht="24.95" customHeight="1">
      <c r="A129" s="3" t="s">
        <v>539</v>
      </c>
      <c r="B129" s="21">
        <v>45148</v>
      </c>
      <c r="C129" s="3" t="s">
        <v>540</v>
      </c>
      <c r="D129" s="3" t="s">
        <v>73</v>
      </c>
      <c r="E129" s="19">
        <v>3</v>
      </c>
      <c r="F129" s="22">
        <v>469.32</v>
      </c>
      <c r="G129" s="3" t="s">
        <v>541</v>
      </c>
      <c r="H129" s="3" t="s">
        <v>18</v>
      </c>
      <c r="I129" s="3" t="s">
        <v>19</v>
      </c>
      <c r="J129" s="3" t="s">
        <v>542</v>
      </c>
      <c r="K129" s="19">
        <v>3</v>
      </c>
      <c r="L129" s="3" t="s">
        <v>1192</v>
      </c>
      <c r="M129" s="3" t="s">
        <v>76</v>
      </c>
      <c r="N129" s="22">
        <v>1407.96</v>
      </c>
    </row>
    <row r="130" spans="1:14" ht="24.95" customHeight="1">
      <c r="A130" s="3" t="s">
        <v>543</v>
      </c>
      <c r="B130" s="21">
        <v>44974</v>
      </c>
      <c r="C130" s="3" t="s">
        <v>544</v>
      </c>
      <c r="D130" s="3" t="s">
        <v>32</v>
      </c>
      <c r="E130" s="19">
        <v>4</v>
      </c>
      <c r="F130" s="22">
        <v>21.07</v>
      </c>
      <c r="G130" s="3" t="s">
        <v>545</v>
      </c>
      <c r="H130" s="3" t="s">
        <v>60</v>
      </c>
      <c r="I130" s="3" t="s">
        <v>50</v>
      </c>
      <c r="J130" s="3" t="s">
        <v>546</v>
      </c>
      <c r="K130" s="19">
        <v>4</v>
      </c>
      <c r="L130" s="3" t="s">
        <v>37</v>
      </c>
      <c r="M130" s="3" t="s">
        <v>76</v>
      </c>
      <c r="N130" s="22">
        <v>84.28</v>
      </c>
    </row>
    <row r="131" spans="1:14" ht="24.95" customHeight="1">
      <c r="A131" s="3" t="s">
        <v>547</v>
      </c>
      <c r="B131" s="21">
        <v>45226</v>
      </c>
      <c r="C131" s="3" t="s">
        <v>548</v>
      </c>
      <c r="D131" s="3" t="s">
        <v>58</v>
      </c>
      <c r="E131" s="19">
        <v>4</v>
      </c>
      <c r="F131" s="22">
        <v>263.93</v>
      </c>
      <c r="G131" s="3" t="s">
        <v>549</v>
      </c>
      <c r="H131" s="3" t="s">
        <v>18</v>
      </c>
      <c r="I131" s="3" t="s">
        <v>19</v>
      </c>
      <c r="J131" s="3" t="s">
        <v>550</v>
      </c>
      <c r="K131" s="19">
        <v>4</v>
      </c>
      <c r="L131" s="3" t="s">
        <v>37</v>
      </c>
      <c r="M131" s="3" t="s">
        <v>45</v>
      </c>
      <c r="N131" s="22">
        <v>1055.72</v>
      </c>
    </row>
    <row r="132" spans="1:14" ht="24.95" customHeight="1">
      <c r="A132" s="3" t="s">
        <v>551</v>
      </c>
      <c r="B132" s="21">
        <v>45679</v>
      </c>
      <c r="C132" s="3" t="s">
        <v>552</v>
      </c>
      <c r="D132" s="3" t="s">
        <v>73</v>
      </c>
      <c r="E132" s="19">
        <v>3</v>
      </c>
      <c r="F132" s="22">
        <v>501.3</v>
      </c>
      <c r="G132" s="3" t="s">
        <v>553</v>
      </c>
      <c r="H132" s="3" t="s">
        <v>27</v>
      </c>
      <c r="I132" s="3" t="s">
        <v>35</v>
      </c>
      <c r="J132" s="3" t="s">
        <v>554</v>
      </c>
      <c r="K132" s="19">
        <v>3</v>
      </c>
      <c r="L132" s="3" t="s">
        <v>81</v>
      </c>
      <c r="M132" s="3" t="s">
        <v>45</v>
      </c>
      <c r="N132" s="22">
        <v>1503.9</v>
      </c>
    </row>
    <row r="133" spans="1:14" ht="24.95" customHeight="1">
      <c r="A133" s="3" t="s">
        <v>555</v>
      </c>
      <c r="B133" s="21">
        <v>44934</v>
      </c>
      <c r="C133" s="3" t="s">
        <v>556</v>
      </c>
      <c r="D133" s="3" t="s">
        <v>32</v>
      </c>
      <c r="E133" s="19">
        <v>1</v>
      </c>
      <c r="F133" s="22">
        <v>84.8</v>
      </c>
      <c r="G133" s="3" t="s">
        <v>557</v>
      </c>
      <c r="H133" s="3" t="s">
        <v>60</v>
      </c>
      <c r="I133" s="3" t="s">
        <v>89</v>
      </c>
      <c r="J133" s="3" t="s">
        <v>558</v>
      </c>
      <c r="K133" s="19">
        <v>5</v>
      </c>
      <c r="L133" s="3" t="s">
        <v>1192</v>
      </c>
      <c r="M133" s="3" t="s">
        <v>22</v>
      </c>
      <c r="N133" s="22">
        <v>84.8</v>
      </c>
    </row>
    <row r="134" spans="1:14" ht="24.95" customHeight="1">
      <c r="A134" s="3" t="s">
        <v>559</v>
      </c>
      <c r="B134" s="21">
        <v>45013</v>
      </c>
      <c r="C134" s="3" t="s">
        <v>560</v>
      </c>
      <c r="D134" s="3" t="s">
        <v>32</v>
      </c>
      <c r="E134" s="19">
        <v>4</v>
      </c>
      <c r="F134" s="22">
        <v>450.75</v>
      </c>
      <c r="G134" s="3" t="s">
        <v>561</v>
      </c>
      <c r="H134" s="3" t="s">
        <v>34</v>
      </c>
      <c r="I134" s="3" t="s">
        <v>19</v>
      </c>
      <c r="J134" s="3" t="s">
        <v>562</v>
      </c>
      <c r="K134" s="19">
        <v>6</v>
      </c>
      <c r="L134" s="3" t="s">
        <v>81</v>
      </c>
      <c r="M134" s="3" t="s">
        <v>38</v>
      </c>
      <c r="N134" s="22">
        <v>1803</v>
      </c>
    </row>
    <row r="135" spans="1:14" ht="24.95" customHeight="1">
      <c r="A135" s="3" t="s">
        <v>563</v>
      </c>
      <c r="B135" s="21">
        <v>45828</v>
      </c>
      <c r="C135" s="3" t="s">
        <v>564</v>
      </c>
      <c r="D135" s="3" t="s">
        <v>41</v>
      </c>
      <c r="E135" s="19">
        <v>4</v>
      </c>
      <c r="F135" s="22">
        <v>302.05</v>
      </c>
      <c r="G135" s="3" t="s">
        <v>565</v>
      </c>
      <c r="H135" s="3" t="s">
        <v>18</v>
      </c>
      <c r="I135" s="3" t="s">
        <v>35</v>
      </c>
      <c r="J135" s="3" t="s">
        <v>566</v>
      </c>
      <c r="K135" s="19">
        <v>6</v>
      </c>
      <c r="L135" s="3" t="s">
        <v>21</v>
      </c>
      <c r="M135" s="3" t="s">
        <v>76</v>
      </c>
      <c r="N135" s="22">
        <v>1208.2</v>
      </c>
    </row>
    <row r="136" spans="1:14" ht="24.95" customHeight="1">
      <c r="A136" s="3" t="s">
        <v>567</v>
      </c>
      <c r="B136" s="21">
        <v>45831</v>
      </c>
      <c r="C136" s="3" t="s">
        <v>568</v>
      </c>
      <c r="D136" s="3" t="s">
        <v>58</v>
      </c>
      <c r="E136" s="19">
        <v>2</v>
      </c>
      <c r="F136" s="22">
        <v>199.7</v>
      </c>
      <c r="G136" s="3" t="s">
        <v>561</v>
      </c>
      <c r="H136" s="3" t="s">
        <v>65</v>
      </c>
      <c r="I136" s="3" t="s">
        <v>89</v>
      </c>
      <c r="J136" s="3" t="s">
        <v>569</v>
      </c>
      <c r="K136" s="19">
        <v>4</v>
      </c>
      <c r="L136" s="3" t="s">
        <v>1192</v>
      </c>
      <c r="M136" s="3" t="s">
        <v>38</v>
      </c>
      <c r="N136" s="22">
        <v>399.4</v>
      </c>
    </row>
    <row r="137" spans="1:14" ht="24.95" customHeight="1">
      <c r="A137" s="3" t="s">
        <v>570</v>
      </c>
      <c r="B137" s="21">
        <v>45142</v>
      </c>
      <c r="C137" s="3" t="s">
        <v>571</v>
      </c>
      <c r="D137" s="3" t="s">
        <v>48</v>
      </c>
      <c r="E137" s="19">
        <v>2</v>
      </c>
      <c r="F137" s="22">
        <v>68.81</v>
      </c>
      <c r="G137" s="3" t="s">
        <v>572</v>
      </c>
      <c r="H137" s="3" t="s">
        <v>60</v>
      </c>
      <c r="I137" s="3" t="s">
        <v>19</v>
      </c>
      <c r="J137" s="3" t="s">
        <v>573</v>
      </c>
      <c r="K137" s="19">
        <v>5</v>
      </c>
      <c r="L137" s="3" t="s">
        <v>21</v>
      </c>
      <c r="M137" s="3" t="s">
        <v>29</v>
      </c>
      <c r="N137" s="22">
        <v>137.62</v>
      </c>
    </row>
    <row r="138" spans="1:14" ht="24.95" customHeight="1">
      <c r="A138" s="3" t="s">
        <v>574</v>
      </c>
      <c r="B138" s="21">
        <v>45409</v>
      </c>
      <c r="C138" s="3" t="s">
        <v>575</v>
      </c>
      <c r="D138" s="3" t="s">
        <v>58</v>
      </c>
      <c r="E138" s="19">
        <v>1</v>
      </c>
      <c r="F138" s="22">
        <v>44.35</v>
      </c>
      <c r="G138" s="3" t="s">
        <v>576</v>
      </c>
      <c r="H138" s="3" t="s">
        <v>60</v>
      </c>
      <c r="I138" s="3" t="s">
        <v>35</v>
      </c>
      <c r="J138" s="3" t="s">
        <v>577</v>
      </c>
      <c r="K138" s="19">
        <v>1</v>
      </c>
      <c r="L138" s="3" t="s">
        <v>21</v>
      </c>
      <c r="M138" s="3" t="s">
        <v>22</v>
      </c>
      <c r="N138" s="22">
        <v>44.35</v>
      </c>
    </row>
    <row r="139" spans="1:14" ht="24.95" customHeight="1">
      <c r="A139" s="3" t="s">
        <v>578</v>
      </c>
      <c r="B139" s="21">
        <v>45622</v>
      </c>
      <c r="C139" s="3" t="s">
        <v>579</v>
      </c>
      <c r="D139" s="3" t="s">
        <v>16</v>
      </c>
      <c r="E139" s="19">
        <v>2</v>
      </c>
      <c r="F139" s="22">
        <v>250.98</v>
      </c>
      <c r="G139" s="3" t="s">
        <v>580</v>
      </c>
      <c r="H139" s="3" t="s">
        <v>34</v>
      </c>
      <c r="I139" s="3" t="s">
        <v>50</v>
      </c>
      <c r="J139" s="3" t="s">
        <v>581</v>
      </c>
      <c r="K139" s="19">
        <v>5</v>
      </c>
      <c r="L139" s="3" t="s">
        <v>1192</v>
      </c>
      <c r="M139" s="3" t="s">
        <v>76</v>
      </c>
      <c r="N139" s="22">
        <v>501.96</v>
      </c>
    </row>
    <row r="140" spans="1:14" ht="24.95" customHeight="1">
      <c r="A140" s="3" t="s">
        <v>582</v>
      </c>
      <c r="B140" s="21">
        <v>45281</v>
      </c>
      <c r="C140" s="3" t="s">
        <v>583</v>
      </c>
      <c r="D140" s="3" t="s">
        <v>32</v>
      </c>
      <c r="E140" s="19">
        <v>1</v>
      </c>
      <c r="F140" s="22">
        <v>298.06</v>
      </c>
      <c r="G140" s="3" t="s">
        <v>584</v>
      </c>
      <c r="H140" s="3" t="s">
        <v>18</v>
      </c>
      <c r="I140" s="3" t="s">
        <v>89</v>
      </c>
      <c r="J140" s="3" t="s">
        <v>585</v>
      </c>
      <c r="K140" s="19">
        <v>3</v>
      </c>
      <c r="L140" s="3" t="s">
        <v>81</v>
      </c>
      <c r="M140" s="3" t="s">
        <v>76</v>
      </c>
      <c r="N140" s="22">
        <v>298.06</v>
      </c>
    </row>
    <row r="141" spans="1:14" ht="24.95" customHeight="1">
      <c r="A141" s="3" t="s">
        <v>586</v>
      </c>
      <c r="B141" s="21">
        <v>45026</v>
      </c>
      <c r="C141" s="3" t="s">
        <v>587</v>
      </c>
      <c r="D141" s="3" t="s">
        <v>25</v>
      </c>
      <c r="E141" s="19">
        <v>1</v>
      </c>
      <c r="F141" s="22">
        <v>583.9</v>
      </c>
      <c r="G141" s="3" t="s">
        <v>588</v>
      </c>
      <c r="H141" s="3" t="s">
        <v>65</v>
      </c>
      <c r="I141" s="3" t="s">
        <v>43</v>
      </c>
      <c r="J141" s="3" t="s">
        <v>589</v>
      </c>
      <c r="K141" s="19">
        <v>1</v>
      </c>
      <c r="L141" s="3" t="s">
        <v>1192</v>
      </c>
      <c r="M141" s="3" t="s">
        <v>38</v>
      </c>
      <c r="N141" s="22">
        <v>583.9</v>
      </c>
    </row>
    <row r="142" spans="1:14" ht="24.95" customHeight="1">
      <c r="A142" s="3" t="s">
        <v>590</v>
      </c>
      <c r="B142" s="21">
        <v>45808</v>
      </c>
      <c r="C142" s="3" t="s">
        <v>591</v>
      </c>
      <c r="D142" s="3" t="s">
        <v>41</v>
      </c>
      <c r="E142" s="19">
        <v>3</v>
      </c>
      <c r="F142" s="22">
        <v>528.14</v>
      </c>
      <c r="G142" s="3" t="s">
        <v>474</v>
      </c>
      <c r="H142" s="3" t="s">
        <v>27</v>
      </c>
      <c r="I142" s="3" t="s">
        <v>50</v>
      </c>
      <c r="J142" s="3" t="s">
        <v>592</v>
      </c>
      <c r="K142" s="19">
        <v>3</v>
      </c>
      <c r="L142" s="3" t="s">
        <v>37</v>
      </c>
      <c r="M142" s="3" t="s">
        <v>38</v>
      </c>
      <c r="N142" s="22">
        <v>1584.42</v>
      </c>
    </row>
    <row r="143" spans="1:14" ht="24.95" customHeight="1">
      <c r="A143" s="3" t="s">
        <v>593</v>
      </c>
      <c r="B143" s="21">
        <v>45248</v>
      </c>
      <c r="C143" s="3" t="s">
        <v>594</v>
      </c>
      <c r="D143" s="3" t="s">
        <v>48</v>
      </c>
      <c r="E143" s="19">
        <v>3</v>
      </c>
      <c r="F143" s="22">
        <v>684.14</v>
      </c>
      <c r="G143" s="3" t="s">
        <v>595</v>
      </c>
      <c r="H143" s="3" t="s">
        <v>65</v>
      </c>
      <c r="I143" s="3" t="s">
        <v>35</v>
      </c>
      <c r="J143" s="3" t="s">
        <v>596</v>
      </c>
      <c r="K143" s="19">
        <v>3</v>
      </c>
      <c r="L143" s="3" t="s">
        <v>81</v>
      </c>
      <c r="M143" s="3" t="s">
        <v>22</v>
      </c>
      <c r="N143" s="22">
        <v>2052.42</v>
      </c>
    </row>
    <row r="144" spans="1:14" ht="24.95" customHeight="1">
      <c r="A144" s="3" t="s">
        <v>597</v>
      </c>
      <c r="B144" s="21">
        <v>45175</v>
      </c>
      <c r="C144" s="3" t="s">
        <v>598</v>
      </c>
      <c r="D144" s="3" t="s">
        <v>73</v>
      </c>
      <c r="E144" s="19">
        <v>5</v>
      </c>
      <c r="F144" s="22">
        <v>272.77</v>
      </c>
      <c r="G144" s="3" t="s">
        <v>599</v>
      </c>
      <c r="H144" s="3" t="s">
        <v>65</v>
      </c>
      <c r="I144" s="3" t="s">
        <v>89</v>
      </c>
      <c r="J144" s="3" t="s">
        <v>600</v>
      </c>
      <c r="K144" s="19">
        <v>7</v>
      </c>
      <c r="L144" s="3" t="s">
        <v>81</v>
      </c>
      <c r="M144" s="3" t="s">
        <v>38</v>
      </c>
      <c r="N144" s="22">
        <v>1363.85</v>
      </c>
    </row>
    <row r="145" spans="1:14" ht="24.95" customHeight="1">
      <c r="A145" s="3" t="s">
        <v>601</v>
      </c>
      <c r="B145" s="21">
        <v>45456</v>
      </c>
      <c r="C145" s="3" t="s">
        <v>602</v>
      </c>
      <c r="D145" s="3" t="s">
        <v>41</v>
      </c>
      <c r="E145" s="19">
        <v>4</v>
      </c>
      <c r="F145" s="22">
        <v>400.07</v>
      </c>
      <c r="G145" s="3" t="s">
        <v>603</v>
      </c>
      <c r="H145" s="3" t="s">
        <v>27</v>
      </c>
      <c r="I145" s="3" t="s">
        <v>19</v>
      </c>
      <c r="J145" s="3" t="s">
        <v>604</v>
      </c>
      <c r="K145" s="19">
        <v>5</v>
      </c>
      <c r="L145" s="3" t="s">
        <v>1192</v>
      </c>
      <c r="M145" s="3" t="s">
        <v>29</v>
      </c>
      <c r="N145" s="22">
        <v>1600.28</v>
      </c>
    </row>
    <row r="146" spans="1:14" ht="24.95" customHeight="1">
      <c r="A146" s="3" t="s">
        <v>605</v>
      </c>
      <c r="B146" s="21">
        <v>45142</v>
      </c>
      <c r="C146" s="3" t="s">
        <v>606</v>
      </c>
      <c r="D146" s="3" t="s">
        <v>73</v>
      </c>
      <c r="E146" s="19">
        <v>5</v>
      </c>
      <c r="F146" s="22">
        <v>219.78</v>
      </c>
      <c r="G146" s="3" t="s">
        <v>161</v>
      </c>
      <c r="H146" s="3" t="s">
        <v>34</v>
      </c>
      <c r="I146" s="3" t="s">
        <v>89</v>
      </c>
      <c r="J146" s="3" t="s">
        <v>607</v>
      </c>
      <c r="K146" s="19">
        <v>8</v>
      </c>
      <c r="L146" s="3" t="s">
        <v>1192</v>
      </c>
      <c r="M146" s="3" t="s">
        <v>45</v>
      </c>
      <c r="N146" s="22">
        <v>1098.9000000000001</v>
      </c>
    </row>
    <row r="147" spans="1:14" ht="24.95" customHeight="1">
      <c r="A147" s="3" t="s">
        <v>608</v>
      </c>
      <c r="B147" s="21">
        <v>45353</v>
      </c>
      <c r="C147" s="3" t="s">
        <v>609</v>
      </c>
      <c r="D147" s="3" t="s">
        <v>48</v>
      </c>
      <c r="E147" s="19">
        <v>3</v>
      </c>
      <c r="F147" s="22">
        <v>146.91</v>
      </c>
      <c r="G147" s="3" t="s">
        <v>610</v>
      </c>
      <c r="H147" s="3" t="s">
        <v>34</v>
      </c>
      <c r="I147" s="3" t="s">
        <v>50</v>
      </c>
      <c r="J147" s="3" t="s">
        <v>611</v>
      </c>
      <c r="K147" s="19">
        <v>6</v>
      </c>
      <c r="L147" s="3" t="s">
        <v>37</v>
      </c>
      <c r="M147" s="3" t="s">
        <v>76</v>
      </c>
      <c r="N147" s="22">
        <v>440.73</v>
      </c>
    </row>
    <row r="148" spans="1:14" ht="24.95" customHeight="1">
      <c r="A148" s="3" t="s">
        <v>612</v>
      </c>
      <c r="B148" s="21">
        <v>45777</v>
      </c>
      <c r="C148" s="3" t="s">
        <v>613</v>
      </c>
      <c r="D148" s="3" t="s">
        <v>32</v>
      </c>
      <c r="E148" s="19">
        <v>2</v>
      </c>
      <c r="F148" s="22">
        <v>411.49</v>
      </c>
      <c r="G148" s="3" t="s">
        <v>614</v>
      </c>
      <c r="H148" s="3" t="s">
        <v>34</v>
      </c>
      <c r="I148" s="3" t="s">
        <v>43</v>
      </c>
      <c r="J148" s="3" t="s">
        <v>615</v>
      </c>
      <c r="K148" s="19">
        <v>4</v>
      </c>
      <c r="L148" s="3" t="s">
        <v>1192</v>
      </c>
      <c r="M148" s="3" t="s">
        <v>22</v>
      </c>
      <c r="N148" s="22">
        <v>822.98</v>
      </c>
    </row>
    <row r="149" spans="1:14" ht="24.95" customHeight="1">
      <c r="A149" s="3" t="s">
        <v>616</v>
      </c>
      <c r="B149" s="21">
        <v>45783</v>
      </c>
      <c r="C149" s="3" t="s">
        <v>617</v>
      </c>
      <c r="D149" s="3" t="s">
        <v>58</v>
      </c>
      <c r="E149" s="19">
        <v>2</v>
      </c>
      <c r="F149" s="22">
        <v>465.18</v>
      </c>
      <c r="G149" s="3" t="s">
        <v>618</v>
      </c>
      <c r="H149" s="3" t="s">
        <v>34</v>
      </c>
      <c r="I149" s="3" t="s">
        <v>35</v>
      </c>
      <c r="J149" s="3" t="s">
        <v>619</v>
      </c>
      <c r="K149" s="19">
        <v>2</v>
      </c>
      <c r="L149" s="3" t="s">
        <v>21</v>
      </c>
      <c r="M149" s="3" t="s">
        <v>76</v>
      </c>
      <c r="N149" s="22">
        <v>930.36</v>
      </c>
    </row>
    <row r="150" spans="1:14" ht="24.95" customHeight="1">
      <c r="A150" s="3" t="s">
        <v>620</v>
      </c>
      <c r="B150" s="21">
        <v>45641</v>
      </c>
      <c r="C150" s="3" t="s">
        <v>621</v>
      </c>
      <c r="D150" s="3" t="s">
        <v>25</v>
      </c>
      <c r="E150" s="19">
        <v>2</v>
      </c>
      <c r="F150" s="22">
        <v>319.91000000000003</v>
      </c>
      <c r="G150" s="3" t="s">
        <v>622</v>
      </c>
      <c r="H150" s="3" t="s">
        <v>34</v>
      </c>
      <c r="I150" s="3" t="s">
        <v>35</v>
      </c>
      <c r="J150" s="3" t="s">
        <v>623</v>
      </c>
      <c r="K150" s="19">
        <v>3</v>
      </c>
      <c r="L150" s="3" t="s">
        <v>81</v>
      </c>
      <c r="M150" s="3" t="s">
        <v>76</v>
      </c>
      <c r="N150" s="22">
        <v>639.82000000000005</v>
      </c>
    </row>
    <row r="151" spans="1:14" ht="24.95" customHeight="1">
      <c r="A151" s="3" t="s">
        <v>624</v>
      </c>
      <c r="B151" s="21">
        <v>45287</v>
      </c>
      <c r="C151" s="3" t="s">
        <v>625</v>
      </c>
      <c r="D151" s="3" t="s">
        <v>58</v>
      </c>
      <c r="E151" s="19">
        <v>1</v>
      </c>
      <c r="F151" s="22">
        <v>217.56</v>
      </c>
      <c r="G151" s="3" t="s">
        <v>626</v>
      </c>
      <c r="H151" s="3" t="s">
        <v>18</v>
      </c>
      <c r="I151" s="3" t="s">
        <v>50</v>
      </c>
      <c r="J151" s="3" t="s">
        <v>627</v>
      </c>
      <c r="K151" s="19">
        <v>3</v>
      </c>
      <c r="L151" s="3" t="s">
        <v>1192</v>
      </c>
      <c r="M151" s="3" t="s">
        <v>45</v>
      </c>
      <c r="N151" s="22">
        <v>217.56</v>
      </c>
    </row>
    <row r="152" spans="1:14" ht="24.95" customHeight="1">
      <c r="A152" s="3" t="s">
        <v>628</v>
      </c>
      <c r="B152" s="21">
        <v>45273</v>
      </c>
      <c r="C152" s="3" t="s">
        <v>629</v>
      </c>
      <c r="D152" s="3" t="s">
        <v>25</v>
      </c>
      <c r="E152" s="19">
        <v>2</v>
      </c>
      <c r="F152" s="22">
        <v>105.57</v>
      </c>
      <c r="G152" s="3" t="s">
        <v>630</v>
      </c>
      <c r="H152" s="3" t="s">
        <v>18</v>
      </c>
      <c r="I152" s="3" t="s">
        <v>43</v>
      </c>
      <c r="J152" s="3" t="s">
        <v>631</v>
      </c>
      <c r="K152" s="19">
        <v>5</v>
      </c>
      <c r="L152" s="3" t="s">
        <v>81</v>
      </c>
      <c r="M152" s="3" t="s">
        <v>76</v>
      </c>
      <c r="N152" s="22">
        <v>211.14</v>
      </c>
    </row>
    <row r="153" spans="1:14" ht="24.95" customHeight="1">
      <c r="A153" s="3" t="s">
        <v>632</v>
      </c>
      <c r="B153" s="21">
        <v>45261</v>
      </c>
      <c r="C153" s="3" t="s">
        <v>633</v>
      </c>
      <c r="D153" s="3" t="s">
        <v>48</v>
      </c>
      <c r="E153" s="19">
        <v>5</v>
      </c>
      <c r="F153" s="22">
        <v>444.76</v>
      </c>
      <c r="G153" s="3" t="s">
        <v>634</v>
      </c>
      <c r="H153" s="3" t="s">
        <v>18</v>
      </c>
      <c r="I153" s="3" t="s">
        <v>43</v>
      </c>
      <c r="J153" s="3" t="s">
        <v>635</v>
      </c>
      <c r="K153" s="19">
        <v>7</v>
      </c>
      <c r="L153" s="3" t="s">
        <v>1192</v>
      </c>
      <c r="M153" s="3" t="s">
        <v>38</v>
      </c>
      <c r="N153" s="22">
        <v>2223.8000000000002</v>
      </c>
    </row>
    <row r="154" spans="1:14" ht="24.95" customHeight="1">
      <c r="A154" s="3" t="s">
        <v>636</v>
      </c>
      <c r="B154" s="21">
        <v>45659</v>
      </c>
      <c r="C154" s="3" t="s">
        <v>637</v>
      </c>
      <c r="D154" s="3" t="s">
        <v>41</v>
      </c>
      <c r="E154" s="19">
        <v>2</v>
      </c>
      <c r="F154" s="22">
        <v>399.04</v>
      </c>
      <c r="G154" s="3" t="s">
        <v>638</v>
      </c>
      <c r="H154" s="3" t="s">
        <v>65</v>
      </c>
      <c r="I154" s="3" t="s">
        <v>35</v>
      </c>
      <c r="J154" s="3" t="s">
        <v>639</v>
      </c>
      <c r="K154" s="19">
        <v>3</v>
      </c>
      <c r="L154" s="3" t="s">
        <v>37</v>
      </c>
      <c r="M154" s="3" t="s">
        <v>29</v>
      </c>
      <c r="N154" s="22">
        <v>798.08</v>
      </c>
    </row>
    <row r="155" spans="1:14" ht="24.95" customHeight="1">
      <c r="A155" s="3" t="s">
        <v>640</v>
      </c>
      <c r="B155" s="21">
        <v>45644</v>
      </c>
      <c r="C155" s="3" t="s">
        <v>641</v>
      </c>
      <c r="D155" s="3" t="s">
        <v>41</v>
      </c>
      <c r="E155" s="19">
        <v>4</v>
      </c>
      <c r="F155" s="22">
        <v>534.48</v>
      </c>
      <c r="G155" s="3" t="s">
        <v>642</v>
      </c>
      <c r="H155" s="3" t="s">
        <v>27</v>
      </c>
      <c r="I155" s="3" t="s">
        <v>43</v>
      </c>
      <c r="J155" s="3" t="s">
        <v>643</v>
      </c>
      <c r="K155" s="19">
        <v>9</v>
      </c>
      <c r="L155" s="3" t="s">
        <v>81</v>
      </c>
      <c r="M155" s="3" t="s">
        <v>22</v>
      </c>
      <c r="N155" s="22">
        <v>2137.92</v>
      </c>
    </row>
    <row r="156" spans="1:14" ht="24.95" customHeight="1">
      <c r="A156" s="3" t="s">
        <v>644</v>
      </c>
      <c r="B156" s="21">
        <v>45127</v>
      </c>
      <c r="C156" s="3" t="s">
        <v>645</v>
      </c>
      <c r="D156" s="3" t="s">
        <v>25</v>
      </c>
      <c r="E156" s="19">
        <v>4</v>
      </c>
      <c r="F156" s="22">
        <v>408.21</v>
      </c>
      <c r="G156" s="3" t="s">
        <v>525</v>
      </c>
      <c r="H156" s="3" t="s">
        <v>34</v>
      </c>
      <c r="I156" s="3" t="s">
        <v>89</v>
      </c>
      <c r="J156" s="3" t="s">
        <v>646</v>
      </c>
      <c r="K156" s="19">
        <v>9</v>
      </c>
      <c r="L156" s="3" t="s">
        <v>1192</v>
      </c>
      <c r="M156" s="3" t="s">
        <v>22</v>
      </c>
      <c r="N156" s="22">
        <v>1632.84</v>
      </c>
    </row>
    <row r="157" spans="1:14" ht="24.95" customHeight="1">
      <c r="A157" s="3" t="s">
        <v>647</v>
      </c>
      <c r="B157" s="21">
        <v>44984</v>
      </c>
      <c r="C157" s="3" t="s">
        <v>648</v>
      </c>
      <c r="D157" s="3" t="s">
        <v>25</v>
      </c>
      <c r="E157" s="19">
        <v>1</v>
      </c>
      <c r="F157" s="22">
        <v>424.4</v>
      </c>
      <c r="G157" s="3" t="s">
        <v>238</v>
      </c>
      <c r="H157" s="3" t="s">
        <v>27</v>
      </c>
      <c r="I157" s="3" t="s">
        <v>19</v>
      </c>
      <c r="J157" s="3" t="s">
        <v>649</v>
      </c>
      <c r="K157" s="19">
        <v>6</v>
      </c>
      <c r="L157" s="3" t="s">
        <v>81</v>
      </c>
      <c r="M157" s="3" t="s">
        <v>29</v>
      </c>
      <c r="N157" s="22">
        <v>424.4</v>
      </c>
    </row>
    <row r="158" spans="1:14" ht="24.95" customHeight="1">
      <c r="A158" s="3" t="s">
        <v>650</v>
      </c>
      <c r="B158" s="21">
        <v>45604</v>
      </c>
      <c r="C158" s="3" t="s">
        <v>651</v>
      </c>
      <c r="D158" s="3" t="s">
        <v>41</v>
      </c>
      <c r="E158" s="19">
        <v>2</v>
      </c>
      <c r="F158" s="22">
        <v>269.83</v>
      </c>
      <c r="G158" s="3" t="s">
        <v>652</v>
      </c>
      <c r="H158" s="3" t="s">
        <v>27</v>
      </c>
      <c r="I158" s="3" t="s">
        <v>50</v>
      </c>
      <c r="J158" s="3" t="s">
        <v>653</v>
      </c>
      <c r="K158" s="19">
        <v>4</v>
      </c>
      <c r="L158" s="3" t="s">
        <v>21</v>
      </c>
      <c r="M158" s="3" t="s">
        <v>38</v>
      </c>
      <c r="N158" s="22">
        <v>539.66</v>
      </c>
    </row>
    <row r="159" spans="1:14" ht="24.95" customHeight="1">
      <c r="A159" s="3" t="s">
        <v>654</v>
      </c>
      <c r="B159" s="21">
        <v>45709</v>
      </c>
      <c r="C159" s="3" t="s">
        <v>655</v>
      </c>
      <c r="D159" s="3" t="s">
        <v>16</v>
      </c>
      <c r="E159" s="19">
        <v>2</v>
      </c>
      <c r="F159" s="22">
        <v>564.58000000000004</v>
      </c>
      <c r="G159" s="3" t="s">
        <v>565</v>
      </c>
      <c r="H159" s="3" t="s">
        <v>27</v>
      </c>
      <c r="I159" s="3" t="s">
        <v>43</v>
      </c>
      <c r="J159" s="3" t="s">
        <v>656</v>
      </c>
      <c r="K159" s="19">
        <v>4</v>
      </c>
      <c r="L159" s="3" t="s">
        <v>81</v>
      </c>
      <c r="M159" s="3" t="s">
        <v>45</v>
      </c>
      <c r="N159" s="22">
        <v>1129.1600000000001</v>
      </c>
    </row>
    <row r="160" spans="1:14" ht="24.95" customHeight="1">
      <c r="A160" s="3" t="s">
        <v>657</v>
      </c>
      <c r="B160" s="21">
        <v>45428</v>
      </c>
      <c r="C160" s="3" t="s">
        <v>658</v>
      </c>
      <c r="D160" s="3" t="s">
        <v>32</v>
      </c>
      <c r="E160" s="19">
        <v>1</v>
      </c>
      <c r="F160" s="22">
        <v>331.06</v>
      </c>
      <c r="G160" s="3" t="s">
        <v>659</v>
      </c>
      <c r="H160" s="3" t="s">
        <v>34</v>
      </c>
      <c r="I160" s="3" t="s">
        <v>89</v>
      </c>
      <c r="J160" s="3" t="s">
        <v>660</v>
      </c>
      <c r="K160" s="19">
        <v>5</v>
      </c>
      <c r="L160" s="3" t="s">
        <v>81</v>
      </c>
      <c r="M160" s="3" t="s">
        <v>22</v>
      </c>
      <c r="N160" s="22">
        <v>331.06</v>
      </c>
    </row>
    <row r="161" spans="1:14" ht="24.95" customHeight="1">
      <c r="A161" s="3" t="s">
        <v>661</v>
      </c>
      <c r="B161" s="21">
        <v>45230</v>
      </c>
      <c r="C161" s="3" t="s">
        <v>662</v>
      </c>
      <c r="D161" s="3" t="s">
        <v>48</v>
      </c>
      <c r="E161" s="19">
        <v>1</v>
      </c>
      <c r="F161" s="22">
        <v>299.35000000000002</v>
      </c>
      <c r="G161" s="3" t="s">
        <v>663</v>
      </c>
      <c r="H161" s="3" t="s">
        <v>34</v>
      </c>
      <c r="I161" s="3" t="s">
        <v>35</v>
      </c>
      <c r="J161" s="3" t="s">
        <v>664</v>
      </c>
      <c r="K161" s="19">
        <v>5</v>
      </c>
      <c r="L161" s="3" t="s">
        <v>81</v>
      </c>
      <c r="M161" s="3" t="s">
        <v>38</v>
      </c>
      <c r="N161" s="22">
        <v>299.35000000000002</v>
      </c>
    </row>
    <row r="162" spans="1:14" ht="24.95" customHeight="1">
      <c r="A162" s="3" t="s">
        <v>665</v>
      </c>
      <c r="B162" s="21">
        <v>44974</v>
      </c>
      <c r="C162" s="3" t="s">
        <v>666</v>
      </c>
      <c r="D162" s="3" t="s">
        <v>16</v>
      </c>
      <c r="E162" s="19">
        <v>4</v>
      </c>
      <c r="F162" s="22">
        <v>101.32</v>
      </c>
      <c r="G162" s="3" t="s">
        <v>667</v>
      </c>
      <c r="H162" s="3" t="s">
        <v>65</v>
      </c>
      <c r="I162" s="3" t="s">
        <v>89</v>
      </c>
      <c r="J162" s="3" t="s">
        <v>668</v>
      </c>
      <c r="K162" s="19">
        <v>7</v>
      </c>
      <c r="L162" s="3" t="s">
        <v>1192</v>
      </c>
      <c r="M162" s="3" t="s">
        <v>29</v>
      </c>
      <c r="N162" s="22">
        <v>405.28</v>
      </c>
    </row>
    <row r="163" spans="1:14" ht="24.95" customHeight="1">
      <c r="A163" s="3" t="s">
        <v>669</v>
      </c>
      <c r="B163" s="21">
        <v>45380</v>
      </c>
      <c r="C163" s="3" t="s">
        <v>670</v>
      </c>
      <c r="D163" s="3" t="s">
        <v>16</v>
      </c>
      <c r="E163" s="19">
        <v>1</v>
      </c>
      <c r="F163" s="22">
        <v>211.14</v>
      </c>
      <c r="G163" s="3" t="s">
        <v>553</v>
      </c>
      <c r="H163" s="3" t="s">
        <v>34</v>
      </c>
      <c r="I163" s="3" t="s">
        <v>35</v>
      </c>
      <c r="J163" s="3" t="s">
        <v>671</v>
      </c>
      <c r="K163" s="19">
        <v>1</v>
      </c>
      <c r="L163" s="3" t="s">
        <v>21</v>
      </c>
      <c r="M163" s="3" t="s">
        <v>45</v>
      </c>
      <c r="N163" s="22">
        <v>211.14</v>
      </c>
    </row>
    <row r="164" spans="1:14" ht="24.95" customHeight="1">
      <c r="A164" s="3" t="s">
        <v>672</v>
      </c>
      <c r="B164" s="21">
        <v>45134</v>
      </c>
      <c r="C164" s="3" t="s">
        <v>673</v>
      </c>
      <c r="D164" s="3" t="s">
        <v>41</v>
      </c>
      <c r="E164" s="19">
        <v>3</v>
      </c>
      <c r="F164" s="22">
        <v>65.86</v>
      </c>
      <c r="G164" s="3" t="s">
        <v>335</v>
      </c>
      <c r="H164" s="3" t="s">
        <v>27</v>
      </c>
      <c r="I164" s="3" t="s">
        <v>89</v>
      </c>
      <c r="J164" s="3" t="s">
        <v>674</v>
      </c>
      <c r="K164" s="19">
        <v>8</v>
      </c>
      <c r="L164" s="3" t="s">
        <v>81</v>
      </c>
      <c r="M164" s="3" t="s">
        <v>76</v>
      </c>
      <c r="N164" s="22">
        <v>197.58</v>
      </c>
    </row>
    <row r="165" spans="1:14" ht="24.95" customHeight="1">
      <c r="A165" s="3" t="s">
        <v>675</v>
      </c>
      <c r="B165" s="21">
        <v>45832</v>
      </c>
      <c r="C165" s="3" t="s">
        <v>676</v>
      </c>
      <c r="D165" s="3" t="s">
        <v>32</v>
      </c>
      <c r="E165" s="19">
        <v>1</v>
      </c>
      <c r="F165" s="22">
        <v>641.39</v>
      </c>
      <c r="G165" s="3" t="s">
        <v>677</v>
      </c>
      <c r="H165" s="3" t="s">
        <v>27</v>
      </c>
      <c r="I165" s="3" t="s">
        <v>35</v>
      </c>
      <c r="J165" s="3" t="s">
        <v>678</v>
      </c>
      <c r="K165" s="19">
        <v>1</v>
      </c>
      <c r="L165" s="3" t="s">
        <v>1192</v>
      </c>
      <c r="M165" s="3" t="s">
        <v>29</v>
      </c>
      <c r="N165" s="22">
        <v>641.39</v>
      </c>
    </row>
    <row r="166" spans="1:14" ht="24.95" customHeight="1">
      <c r="A166" s="3" t="s">
        <v>679</v>
      </c>
      <c r="B166" s="21">
        <v>45288</v>
      </c>
      <c r="C166" s="3" t="s">
        <v>680</v>
      </c>
      <c r="D166" s="3" t="s">
        <v>73</v>
      </c>
      <c r="E166" s="19">
        <v>5</v>
      </c>
      <c r="F166" s="22">
        <v>536.58000000000004</v>
      </c>
      <c r="G166" s="3" t="s">
        <v>681</v>
      </c>
      <c r="H166" s="3" t="s">
        <v>60</v>
      </c>
      <c r="I166" s="3" t="s">
        <v>89</v>
      </c>
      <c r="J166" s="3" t="s">
        <v>682</v>
      </c>
      <c r="K166" s="19">
        <v>5</v>
      </c>
      <c r="L166" s="3" t="s">
        <v>21</v>
      </c>
      <c r="M166" s="3" t="s">
        <v>76</v>
      </c>
      <c r="N166" s="22">
        <v>2682.9</v>
      </c>
    </row>
    <row r="167" spans="1:14" ht="24.95" customHeight="1">
      <c r="A167" s="3" t="s">
        <v>683</v>
      </c>
      <c r="B167" s="21">
        <v>45549</v>
      </c>
      <c r="C167" s="3" t="s">
        <v>684</v>
      </c>
      <c r="D167" s="3" t="s">
        <v>16</v>
      </c>
      <c r="E167" s="19">
        <v>2</v>
      </c>
      <c r="F167" s="22">
        <v>500.29</v>
      </c>
      <c r="G167" s="3" t="s">
        <v>685</v>
      </c>
      <c r="H167" s="3" t="s">
        <v>27</v>
      </c>
      <c r="I167" s="3" t="s">
        <v>43</v>
      </c>
      <c r="J167" s="3" t="s">
        <v>686</v>
      </c>
      <c r="K167" s="19">
        <v>7</v>
      </c>
      <c r="L167" s="3" t="s">
        <v>81</v>
      </c>
      <c r="M167" s="3" t="s">
        <v>76</v>
      </c>
      <c r="N167" s="22">
        <v>1000.58</v>
      </c>
    </row>
    <row r="168" spans="1:14" ht="24.95" customHeight="1">
      <c r="A168" s="3" t="s">
        <v>687</v>
      </c>
      <c r="B168" s="21">
        <v>45720</v>
      </c>
      <c r="C168" s="3" t="s">
        <v>688</v>
      </c>
      <c r="D168" s="3" t="s">
        <v>41</v>
      </c>
      <c r="E168" s="19">
        <v>3</v>
      </c>
      <c r="F168" s="22">
        <v>86.29</v>
      </c>
      <c r="G168" s="3" t="s">
        <v>257</v>
      </c>
      <c r="H168" s="3" t="s">
        <v>65</v>
      </c>
      <c r="I168" s="3" t="s">
        <v>50</v>
      </c>
      <c r="J168" s="3" t="s">
        <v>689</v>
      </c>
      <c r="K168" s="19">
        <v>6</v>
      </c>
      <c r="L168" s="3" t="s">
        <v>81</v>
      </c>
      <c r="M168" s="3" t="s">
        <v>22</v>
      </c>
      <c r="N168" s="22">
        <v>258.87</v>
      </c>
    </row>
    <row r="169" spans="1:14" ht="24.95" customHeight="1">
      <c r="A169" s="3" t="s">
        <v>690</v>
      </c>
      <c r="B169" s="21">
        <v>45073</v>
      </c>
      <c r="C169" s="3" t="s">
        <v>691</v>
      </c>
      <c r="D169" s="3" t="s">
        <v>41</v>
      </c>
      <c r="E169" s="19">
        <v>2</v>
      </c>
      <c r="F169" s="22">
        <v>384.14</v>
      </c>
      <c r="G169" s="3" t="s">
        <v>692</v>
      </c>
      <c r="H169" s="3" t="s">
        <v>27</v>
      </c>
      <c r="I169" s="3" t="s">
        <v>43</v>
      </c>
      <c r="J169" s="3" t="s">
        <v>693</v>
      </c>
      <c r="K169" s="19">
        <v>2</v>
      </c>
      <c r="L169" s="3" t="s">
        <v>81</v>
      </c>
      <c r="M169" s="3" t="s">
        <v>38</v>
      </c>
      <c r="N169" s="22">
        <v>768.28</v>
      </c>
    </row>
    <row r="170" spans="1:14" ht="24.95" customHeight="1">
      <c r="A170" s="3" t="s">
        <v>694</v>
      </c>
      <c r="B170" s="21">
        <v>45661</v>
      </c>
      <c r="C170" s="3" t="s">
        <v>695</v>
      </c>
      <c r="D170" s="3" t="s">
        <v>48</v>
      </c>
      <c r="E170" s="19">
        <v>1</v>
      </c>
      <c r="F170" s="22">
        <v>594.96</v>
      </c>
      <c r="G170" s="3" t="s">
        <v>696</v>
      </c>
      <c r="H170" s="3" t="s">
        <v>65</v>
      </c>
      <c r="I170" s="3" t="s">
        <v>43</v>
      </c>
      <c r="J170" s="3" t="s">
        <v>697</v>
      </c>
      <c r="K170" s="19">
        <v>6</v>
      </c>
      <c r="L170" s="3" t="s">
        <v>1192</v>
      </c>
      <c r="M170" s="3" t="s">
        <v>45</v>
      </c>
      <c r="N170" s="22">
        <v>594.96</v>
      </c>
    </row>
    <row r="171" spans="1:14" ht="24.95" customHeight="1">
      <c r="A171" s="3" t="s">
        <v>698</v>
      </c>
      <c r="B171" s="21">
        <v>45389</v>
      </c>
      <c r="C171" s="3" t="s">
        <v>699</v>
      </c>
      <c r="D171" s="3" t="s">
        <v>48</v>
      </c>
      <c r="E171" s="19">
        <v>1</v>
      </c>
      <c r="F171" s="22">
        <v>427.82</v>
      </c>
      <c r="G171" s="3" t="s">
        <v>700</v>
      </c>
      <c r="H171" s="3" t="s">
        <v>27</v>
      </c>
      <c r="I171" s="3" t="s">
        <v>50</v>
      </c>
      <c r="J171" s="3" t="s">
        <v>701</v>
      </c>
      <c r="K171" s="19">
        <v>2</v>
      </c>
      <c r="L171" s="3" t="s">
        <v>81</v>
      </c>
      <c r="M171" s="3" t="s">
        <v>38</v>
      </c>
      <c r="N171" s="22">
        <v>427.82</v>
      </c>
    </row>
    <row r="172" spans="1:14" ht="24.95" customHeight="1">
      <c r="A172" s="3" t="s">
        <v>702</v>
      </c>
      <c r="B172" s="21">
        <v>45751</v>
      </c>
      <c r="C172" s="3" t="s">
        <v>703</v>
      </c>
      <c r="D172" s="3" t="s">
        <v>73</v>
      </c>
      <c r="E172" s="19">
        <v>4</v>
      </c>
      <c r="F172" s="22">
        <v>662.94</v>
      </c>
      <c r="G172" s="3" t="s">
        <v>704</v>
      </c>
      <c r="H172" s="3" t="s">
        <v>65</v>
      </c>
      <c r="I172" s="3" t="s">
        <v>35</v>
      </c>
      <c r="J172" s="3" t="s">
        <v>705</v>
      </c>
      <c r="K172" s="19">
        <v>8</v>
      </c>
      <c r="L172" s="3" t="s">
        <v>21</v>
      </c>
      <c r="M172" s="3" t="s">
        <v>22</v>
      </c>
      <c r="N172" s="22">
        <v>2651.76</v>
      </c>
    </row>
    <row r="173" spans="1:14" ht="24.95" customHeight="1">
      <c r="A173" s="3" t="s">
        <v>706</v>
      </c>
      <c r="B173" s="21">
        <v>45153</v>
      </c>
      <c r="C173" s="3" t="s">
        <v>707</v>
      </c>
      <c r="D173" s="3" t="s">
        <v>32</v>
      </c>
      <c r="E173" s="19">
        <v>2</v>
      </c>
      <c r="F173" s="22">
        <v>148.22</v>
      </c>
      <c r="G173" s="3" t="s">
        <v>708</v>
      </c>
      <c r="H173" s="3" t="s">
        <v>34</v>
      </c>
      <c r="I173" s="3" t="s">
        <v>50</v>
      </c>
      <c r="J173" s="3" t="s">
        <v>709</v>
      </c>
      <c r="K173" s="19">
        <v>7</v>
      </c>
      <c r="L173" s="3" t="s">
        <v>81</v>
      </c>
      <c r="M173" s="3" t="s">
        <v>22</v>
      </c>
      <c r="N173" s="22">
        <v>296.44</v>
      </c>
    </row>
    <row r="174" spans="1:14" ht="24.95" customHeight="1">
      <c r="A174" s="3" t="s">
        <v>710</v>
      </c>
      <c r="B174" s="21">
        <v>45753</v>
      </c>
      <c r="C174" s="3" t="s">
        <v>711</v>
      </c>
      <c r="D174" s="3" t="s">
        <v>48</v>
      </c>
      <c r="E174" s="19">
        <v>1</v>
      </c>
      <c r="F174" s="22">
        <v>254.12</v>
      </c>
      <c r="G174" s="3" t="s">
        <v>541</v>
      </c>
      <c r="H174" s="3" t="s">
        <v>27</v>
      </c>
      <c r="I174" s="3" t="s">
        <v>50</v>
      </c>
      <c r="J174" s="3" t="s">
        <v>712</v>
      </c>
      <c r="K174" s="19">
        <v>1</v>
      </c>
      <c r="L174" s="3" t="s">
        <v>81</v>
      </c>
      <c r="M174" s="3" t="s">
        <v>38</v>
      </c>
      <c r="N174" s="22">
        <v>254.12</v>
      </c>
    </row>
    <row r="175" spans="1:14" ht="24.95" customHeight="1">
      <c r="A175" s="3" t="s">
        <v>713</v>
      </c>
      <c r="B175" s="21">
        <v>45375</v>
      </c>
      <c r="C175" s="3" t="s">
        <v>714</v>
      </c>
      <c r="D175" s="3" t="s">
        <v>25</v>
      </c>
      <c r="E175" s="19">
        <v>3</v>
      </c>
      <c r="F175" s="22">
        <v>664.46</v>
      </c>
      <c r="G175" s="3" t="s">
        <v>715</v>
      </c>
      <c r="H175" s="3" t="s">
        <v>27</v>
      </c>
      <c r="I175" s="3" t="s">
        <v>50</v>
      </c>
      <c r="J175" s="3" t="s">
        <v>716</v>
      </c>
      <c r="K175" s="19">
        <v>4</v>
      </c>
      <c r="L175" s="3" t="s">
        <v>37</v>
      </c>
      <c r="M175" s="3" t="s">
        <v>76</v>
      </c>
      <c r="N175" s="22">
        <v>1993.38</v>
      </c>
    </row>
    <row r="176" spans="1:14" ht="24.95" customHeight="1">
      <c r="A176" s="3" t="s">
        <v>717</v>
      </c>
      <c r="B176" s="21">
        <v>45398</v>
      </c>
      <c r="C176" s="3" t="s">
        <v>718</v>
      </c>
      <c r="D176" s="3" t="s">
        <v>48</v>
      </c>
      <c r="E176" s="19">
        <v>4</v>
      </c>
      <c r="F176" s="22">
        <v>600.80999999999995</v>
      </c>
      <c r="G176" s="3" t="s">
        <v>719</v>
      </c>
      <c r="H176" s="3" t="s">
        <v>18</v>
      </c>
      <c r="I176" s="3" t="s">
        <v>50</v>
      </c>
      <c r="J176" s="3" t="s">
        <v>720</v>
      </c>
      <c r="K176" s="19">
        <v>9</v>
      </c>
      <c r="L176" s="3" t="s">
        <v>21</v>
      </c>
      <c r="M176" s="3" t="s">
        <v>38</v>
      </c>
      <c r="N176" s="22">
        <v>2403.2399999999998</v>
      </c>
    </row>
    <row r="177" spans="1:14" ht="24.95" customHeight="1">
      <c r="A177" s="3" t="s">
        <v>721</v>
      </c>
      <c r="B177" s="21">
        <v>45696</v>
      </c>
      <c r="C177" s="3" t="s">
        <v>722</v>
      </c>
      <c r="D177" s="3" t="s">
        <v>41</v>
      </c>
      <c r="E177" s="19">
        <v>5</v>
      </c>
      <c r="F177" s="22">
        <v>68.34</v>
      </c>
      <c r="G177" s="3" t="s">
        <v>723</v>
      </c>
      <c r="H177" s="3" t="s">
        <v>18</v>
      </c>
      <c r="I177" s="3" t="s">
        <v>89</v>
      </c>
      <c r="J177" s="3" t="s">
        <v>724</v>
      </c>
      <c r="K177" s="19">
        <v>6</v>
      </c>
      <c r="L177" s="3" t="s">
        <v>81</v>
      </c>
      <c r="M177" s="3" t="s">
        <v>29</v>
      </c>
      <c r="N177" s="22">
        <v>341.7</v>
      </c>
    </row>
    <row r="178" spans="1:14" ht="24.95" customHeight="1">
      <c r="A178" s="3" t="s">
        <v>725</v>
      </c>
      <c r="B178" s="21">
        <v>45836</v>
      </c>
      <c r="C178" s="3" t="s">
        <v>726</v>
      </c>
      <c r="D178" s="3" t="s">
        <v>32</v>
      </c>
      <c r="E178" s="19">
        <v>4</v>
      </c>
      <c r="F178" s="22">
        <v>430.83</v>
      </c>
      <c r="G178" s="3" t="s">
        <v>727</v>
      </c>
      <c r="H178" s="3" t="s">
        <v>60</v>
      </c>
      <c r="I178" s="3" t="s">
        <v>89</v>
      </c>
      <c r="J178" s="3" t="s">
        <v>728</v>
      </c>
      <c r="K178" s="19">
        <v>8</v>
      </c>
      <c r="L178" s="3" t="s">
        <v>81</v>
      </c>
      <c r="M178" s="3" t="s">
        <v>29</v>
      </c>
      <c r="N178" s="22">
        <v>1723.32</v>
      </c>
    </row>
    <row r="179" spans="1:14" ht="24.95" customHeight="1">
      <c r="A179" s="3" t="s">
        <v>729</v>
      </c>
      <c r="B179" s="21">
        <v>45143</v>
      </c>
      <c r="C179" s="3" t="s">
        <v>730</v>
      </c>
      <c r="D179" s="3" t="s">
        <v>41</v>
      </c>
      <c r="E179" s="19">
        <v>5</v>
      </c>
      <c r="F179" s="22">
        <v>431.69</v>
      </c>
      <c r="G179" s="3" t="s">
        <v>731</v>
      </c>
      <c r="H179" s="3" t="s">
        <v>34</v>
      </c>
      <c r="I179" s="3" t="s">
        <v>89</v>
      </c>
      <c r="J179" s="3" t="s">
        <v>732</v>
      </c>
      <c r="K179" s="19">
        <v>10</v>
      </c>
      <c r="L179" s="3" t="s">
        <v>1192</v>
      </c>
      <c r="M179" s="3" t="s">
        <v>45</v>
      </c>
      <c r="N179" s="22">
        <v>2158.4499999999998</v>
      </c>
    </row>
    <row r="180" spans="1:14" ht="24.95" customHeight="1">
      <c r="A180" s="3" t="s">
        <v>733</v>
      </c>
      <c r="B180" s="21">
        <v>45393</v>
      </c>
      <c r="C180" s="3" t="s">
        <v>734</v>
      </c>
      <c r="D180" s="3" t="s">
        <v>41</v>
      </c>
      <c r="E180" s="19">
        <v>4</v>
      </c>
      <c r="F180" s="22">
        <v>512.05999999999995</v>
      </c>
      <c r="G180" s="3" t="s">
        <v>735</v>
      </c>
      <c r="H180" s="3" t="s">
        <v>27</v>
      </c>
      <c r="I180" s="3" t="s">
        <v>50</v>
      </c>
      <c r="J180" s="3" t="s">
        <v>736</v>
      </c>
      <c r="K180" s="19">
        <v>5</v>
      </c>
      <c r="L180" s="3" t="s">
        <v>21</v>
      </c>
      <c r="M180" s="3" t="s">
        <v>76</v>
      </c>
      <c r="N180" s="22">
        <v>2048.2399999999998</v>
      </c>
    </row>
    <row r="181" spans="1:14" ht="24.95" customHeight="1">
      <c r="A181" s="3" t="s">
        <v>737</v>
      </c>
      <c r="B181" s="21">
        <v>45620</v>
      </c>
      <c r="C181" s="3" t="s">
        <v>738</v>
      </c>
      <c r="D181" s="3" t="s">
        <v>58</v>
      </c>
      <c r="E181" s="19">
        <v>3</v>
      </c>
      <c r="F181" s="22">
        <v>539.91</v>
      </c>
      <c r="G181" s="3" t="s">
        <v>739</v>
      </c>
      <c r="H181" s="3" t="s">
        <v>34</v>
      </c>
      <c r="I181" s="3" t="s">
        <v>50</v>
      </c>
      <c r="J181" s="3" t="s">
        <v>740</v>
      </c>
      <c r="K181" s="19">
        <v>8</v>
      </c>
      <c r="L181" s="3" t="s">
        <v>1192</v>
      </c>
      <c r="M181" s="3" t="s">
        <v>38</v>
      </c>
      <c r="N181" s="22">
        <v>1619.73</v>
      </c>
    </row>
    <row r="182" spans="1:14" ht="24.95" customHeight="1">
      <c r="A182" s="3" t="s">
        <v>741</v>
      </c>
      <c r="B182" s="21">
        <v>45003</v>
      </c>
      <c r="C182" s="3" t="s">
        <v>742</v>
      </c>
      <c r="D182" s="3" t="s">
        <v>32</v>
      </c>
      <c r="E182" s="19">
        <v>5</v>
      </c>
      <c r="F182" s="22">
        <v>316.07</v>
      </c>
      <c r="G182" s="3" t="s">
        <v>743</v>
      </c>
      <c r="H182" s="3" t="s">
        <v>65</v>
      </c>
      <c r="I182" s="3" t="s">
        <v>43</v>
      </c>
      <c r="J182" s="3" t="s">
        <v>744</v>
      </c>
      <c r="K182" s="19">
        <v>10</v>
      </c>
      <c r="L182" s="3" t="s">
        <v>1192</v>
      </c>
      <c r="M182" s="3" t="s">
        <v>76</v>
      </c>
      <c r="N182" s="22">
        <v>1580.35</v>
      </c>
    </row>
    <row r="183" spans="1:14" ht="24.95" customHeight="1">
      <c r="A183" s="3" t="s">
        <v>745</v>
      </c>
      <c r="B183" s="21">
        <v>45535</v>
      </c>
      <c r="C183" s="3" t="s">
        <v>746</v>
      </c>
      <c r="D183" s="3" t="s">
        <v>48</v>
      </c>
      <c r="E183" s="19">
        <v>5</v>
      </c>
      <c r="F183" s="22">
        <v>404.39</v>
      </c>
      <c r="G183" s="3" t="s">
        <v>747</v>
      </c>
      <c r="H183" s="3" t="s">
        <v>27</v>
      </c>
      <c r="I183" s="3" t="s">
        <v>19</v>
      </c>
      <c r="J183" s="3" t="s">
        <v>748</v>
      </c>
      <c r="K183" s="19">
        <v>10</v>
      </c>
      <c r="L183" s="3" t="s">
        <v>1192</v>
      </c>
      <c r="M183" s="3" t="s">
        <v>29</v>
      </c>
      <c r="N183" s="22">
        <v>2021.95</v>
      </c>
    </row>
    <row r="184" spans="1:14" ht="24.95" customHeight="1">
      <c r="A184" s="3" t="s">
        <v>749</v>
      </c>
      <c r="B184" s="21">
        <v>45735</v>
      </c>
      <c r="C184" s="3" t="s">
        <v>750</v>
      </c>
      <c r="D184" s="3" t="s">
        <v>73</v>
      </c>
      <c r="E184" s="19">
        <v>1</v>
      </c>
      <c r="F184" s="22">
        <v>600.54</v>
      </c>
      <c r="G184" s="3" t="s">
        <v>751</v>
      </c>
      <c r="H184" s="3" t="s">
        <v>18</v>
      </c>
      <c r="I184" s="3" t="s">
        <v>89</v>
      </c>
      <c r="J184" s="3" t="s">
        <v>752</v>
      </c>
      <c r="K184" s="19">
        <v>4</v>
      </c>
      <c r="L184" s="3" t="s">
        <v>81</v>
      </c>
      <c r="M184" s="3" t="s">
        <v>76</v>
      </c>
      <c r="N184" s="22">
        <v>600.54</v>
      </c>
    </row>
    <row r="185" spans="1:14" ht="24.95" customHeight="1">
      <c r="A185" s="3" t="s">
        <v>753</v>
      </c>
      <c r="B185" s="21">
        <v>45400</v>
      </c>
      <c r="C185" s="3" t="s">
        <v>754</v>
      </c>
      <c r="D185" s="3" t="s">
        <v>16</v>
      </c>
      <c r="E185" s="19">
        <v>5</v>
      </c>
      <c r="F185" s="22">
        <v>186.28</v>
      </c>
      <c r="G185" s="3" t="s">
        <v>755</v>
      </c>
      <c r="H185" s="3" t="s">
        <v>18</v>
      </c>
      <c r="I185" s="3" t="s">
        <v>50</v>
      </c>
      <c r="J185" s="3" t="s">
        <v>756</v>
      </c>
      <c r="K185" s="19">
        <v>8</v>
      </c>
      <c r="L185" s="3" t="s">
        <v>21</v>
      </c>
      <c r="M185" s="3" t="s">
        <v>38</v>
      </c>
      <c r="N185" s="22">
        <v>931.4</v>
      </c>
    </row>
    <row r="186" spans="1:14" ht="24.95" customHeight="1">
      <c r="A186" s="3" t="s">
        <v>757</v>
      </c>
      <c r="B186" s="21">
        <v>45386</v>
      </c>
      <c r="C186" s="3" t="s">
        <v>758</v>
      </c>
      <c r="D186" s="3" t="s">
        <v>32</v>
      </c>
      <c r="E186" s="19">
        <v>4</v>
      </c>
      <c r="F186" s="22">
        <v>214.54</v>
      </c>
      <c r="G186" s="3" t="s">
        <v>759</v>
      </c>
      <c r="H186" s="3" t="s">
        <v>60</v>
      </c>
      <c r="I186" s="3" t="s">
        <v>35</v>
      </c>
      <c r="J186" s="3" t="s">
        <v>760</v>
      </c>
      <c r="K186" s="19">
        <v>7</v>
      </c>
      <c r="L186" s="3" t="s">
        <v>1192</v>
      </c>
      <c r="M186" s="3" t="s">
        <v>29</v>
      </c>
      <c r="N186" s="22">
        <v>858.16</v>
      </c>
    </row>
    <row r="187" spans="1:14" ht="24.95" customHeight="1">
      <c r="A187" s="3" t="s">
        <v>761</v>
      </c>
      <c r="B187" s="21">
        <v>45690</v>
      </c>
      <c r="C187" s="3" t="s">
        <v>762</v>
      </c>
      <c r="D187" s="3" t="s">
        <v>58</v>
      </c>
      <c r="E187" s="19">
        <v>1</v>
      </c>
      <c r="F187" s="22">
        <v>210.7</v>
      </c>
      <c r="G187" s="3" t="s">
        <v>763</v>
      </c>
      <c r="H187" s="3" t="s">
        <v>27</v>
      </c>
      <c r="I187" s="3" t="s">
        <v>19</v>
      </c>
      <c r="J187" s="3" t="s">
        <v>764</v>
      </c>
      <c r="K187" s="19">
        <v>2</v>
      </c>
      <c r="L187" s="3" t="s">
        <v>81</v>
      </c>
      <c r="M187" s="3" t="s">
        <v>29</v>
      </c>
      <c r="N187" s="22">
        <v>210.7</v>
      </c>
    </row>
    <row r="188" spans="1:14" ht="24.95" customHeight="1">
      <c r="A188" s="3" t="s">
        <v>765</v>
      </c>
      <c r="B188" s="21">
        <v>45267</v>
      </c>
      <c r="C188" s="3" t="s">
        <v>766</v>
      </c>
      <c r="D188" s="3" t="s">
        <v>25</v>
      </c>
      <c r="E188" s="19">
        <v>2</v>
      </c>
      <c r="F188" s="22">
        <v>133.55000000000001</v>
      </c>
      <c r="G188" s="3" t="s">
        <v>767</v>
      </c>
      <c r="H188" s="3" t="s">
        <v>65</v>
      </c>
      <c r="I188" s="3" t="s">
        <v>89</v>
      </c>
      <c r="J188" s="3" t="s">
        <v>768</v>
      </c>
      <c r="K188" s="19">
        <v>7</v>
      </c>
      <c r="L188" s="3" t="s">
        <v>37</v>
      </c>
      <c r="M188" s="3" t="s">
        <v>45</v>
      </c>
      <c r="N188" s="22">
        <v>267.10000000000002</v>
      </c>
    </row>
    <row r="189" spans="1:14" ht="24.95" customHeight="1">
      <c r="A189" s="3" t="s">
        <v>769</v>
      </c>
      <c r="B189" s="21">
        <v>44965</v>
      </c>
      <c r="C189" s="3" t="s">
        <v>770</v>
      </c>
      <c r="D189" s="3" t="s">
        <v>41</v>
      </c>
      <c r="E189" s="19">
        <v>1</v>
      </c>
      <c r="F189" s="22">
        <v>590.87</v>
      </c>
      <c r="G189" s="3" t="s">
        <v>771</v>
      </c>
      <c r="H189" s="3" t="s">
        <v>60</v>
      </c>
      <c r="I189" s="3" t="s">
        <v>43</v>
      </c>
      <c r="J189" s="3" t="s">
        <v>772</v>
      </c>
      <c r="K189" s="19">
        <v>6</v>
      </c>
      <c r="L189" s="3" t="s">
        <v>37</v>
      </c>
      <c r="M189" s="3" t="s">
        <v>29</v>
      </c>
      <c r="N189" s="22">
        <v>590.87</v>
      </c>
    </row>
    <row r="190" spans="1:14" ht="24.95" customHeight="1">
      <c r="A190" s="3" t="s">
        <v>773</v>
      </c>
      <c r="B190" s="21">
        <v>45731</v>
      </c>
      <c r="C190" s="3" t="s">
        <v>774</v>
      </c>
      <c r="D190" s="3" t="s">
        <v>41</v>
      </c>
      <c r="E190" s="19">
        <v>2</v>
      </c>
      <c r="F190" s="22">
        <v>363.91</v>
      </c>
      <c r="G190" s="3" t="s">
        <v>775</v>
      </c>
      <c r="H190" s="3" t="s">
        <v>60</v>
      </c>
      <c r="I190" s="3" t="s">
        <v>19</v>
      </c>
      <c r="J190" s="3" t="s">
        <v>776</v>
      </c>
      <c r="K190" s="19">
        <v>2</v>
      </c>
      <c r="L190" s="3" t="s">
        <v>37</v>
      </c>
      <c r="M190" s="3" t="s">
        <v>29</v>
      </c>
      <c r="N190" s="22">
        <v>727.82</v>
      </c>
    </row>
    <row r="191" spans="1:14" ht="24.95" customHeight="1">
      <c r="A191" s="3" t="s">
        <v>777</v>
      </c>
      <c r="B191" s="21">
        <v>45112</v>
      </c>
      <c r="C191" s="3" t="s">
        <v>778</v>
      </c>
      <c r="D191" s="3" t="s">
        <v>48</v>
      </c>
      <c r="E191" s="19">
        <v>5</v>
      </c>
      <c r="F191" s="22">
        <v>429.45</v>
      </c>
      <c r="G191" s="3" t="s">
        <v>779</v>
      </c>
      <c r="H191" s="3" t="s">
        <v>60</v>
      </c>
      <c r="I191" s="3" t="s">
        <v>35</v>
      </c>
      <c r="J191" s="3" t="s">
        <v>780</v>
      </c>
      <c r="K191" s="19">
        <v>5</v>
      </c>
      <c r="L191" s="3" t="s">
        <v>81</v>
      </c>
      <c r="M191" s="3" t="s">
        <v>38</v>
      </c>
      <c r="N191" s="22">
        <v>2147.25</v>
      </c>
    </row>
    <row r="192" spans="1:14" ht="24.95" customHeight="1">
      <c r="A192" s="3" t="s">
        <v>781</v>
      </c>
      <c r="B192" s="21">
        <v>45535</v>
      </c>
      <c r="C192" s="3" t="s">
        <v>782</v>
      </c>
      <c r="D192" s="3" t="s">
        <v>48</v>
      </c>
      <c r="E192" s="19">
        <v>3</v>
      </c>
      <c r="F192" s="22">
        <v>223.7</v>
      </c>
      <c r="G192" s="3" t="s">
        <v>783</v>
      </c>
      <c r="H192" s="3" t="s">
        <v>65</v>
      </c>
      <c r="I192" s="3" t="s">
        <v>43</v>
      </c>
      <c r="J192" s="3" t="s">
        <v>784</v>
      </c>
      <c r="K192" s="19">
        <v>3</v>
      </c>
      <c r="L192" s="3" t="s">
        <v>21</v>
      </c>
      <c r="M192" s="3" t="s">
        <v>38</v>
      </c>
      <c r="N192" s="22">
        <v>671.09999999999991</v>
      </c>
    </row>
    <row r="193" spans="1:14" ht="24.95" customHeight="1">
      <c r="A193" s="3" t="s">
        <v>785</v>
      </c>
      <c r="B193" s="21">
        <v>45724</v>
      </c>
      <c r="C193" s="3" t="s">
        <v>786</v>
      </c>
      <c r="D193" s="3" t="s">
        <v>58</v>
      </c>
      <c r="E193" s="19">
        <v>2</v>
      </c>
      <c r="F193" s="22">
        <v>488.87</v>
      </c>
      <c r="G193" s="3" t="s">
        <v>787</v>
      </c>
      <c r="H193" s="3" t="s">
        <v>27</v>
      </c>
      <c r="I193" s="3" t="s">
        <v>35</v>
      </c>
      <c r="J193" s="3" t="s">
        <v>788</v>
      </c>
      <c r="K193" s="19">
        <v>4</v>
      </c>
      <c r="L193" s="3" t="s">
        <v>37</v>
      </c>
      <c r="M193" s="3" t="s">
        <v>76</v>
      </c>
      <c r="N193" s="22">
        <v>977.74</v>
      </c>
    </row>
    <row r="194" spans="1:14" ht="24.95" customHeight="1">
      <c r="A194" s="3" t="s">
        <v>789</v>
      </c>
      <c r="B194" s="21">
        <v>45149</v>
      </c>
      <c r="C194" s="3" t="s">
        <v>790</v>
      </c>
      <c r="D194" s="3" t="s">
        <v>73</v>
      </c>
      <c r="E194" s="19">
        <v>1</v>
      </c>
      <c r="F194" s="22">
        <v>645.46</v>
      </c>
      <c r="G194" s="3" t="s">
        <v>595</v>
      </c>
      <c r="H194" s="3" t="s">
        <v>60</v>
      </c>
      <c r="I194" s="3" t="s">
        <v>35</v>
      </c>
      <c r="J194" s="3" t="s">
        <v>791</v>
      </c>
      <c r="K194" s="19">
        <v>5</v>
      </c>
      <c r="L194" s="3" t="s">
        <v>21</v>
      </c>
      <c r="M194" s="3" t="s">
        <v>76</v>
      </c>
      <c r="N194" s="22">
        <v>645.46</v>
      </c>
    </row>
    <row r="195" spans="1:14" ht="24.95" customHeight="1">
      <c r="A195" s="3" t="s">
        <v>792</v>
      </c>
      <c r="B195" s="21">
        <v>45128</v>
      </c>
      <c r="C195" s="3" t="s">
        <v>793</v>
      </c>
      <c r="D195" s="3" t="s">
        <v>48</v>
      </c>
      <c r="E195" s="19">
        <v>1</v>
      </c>
      <c r="F195" s="22">
        <v>46.66</v>
      </c>
      <c r="G195" s="3" t="s">
        <v>794</v>
      </c>
      <c r="H195" s="3" t="s">
        <v>65</v>
      </c>
      <c r="I195" s="3" t="s">
        <v>35</v>
      </c>
      <c r="J195" s="3" t="s">
        <v>795</v>
      </c>
      <c r="K195" s="19">
        <v>6</v>
      </c>
      <c r="L195" s="3" t="s">
        <v>1192</v>
      </c>
      <c r="M195" s="3" t="s">
        <v>76</v>
      </c>
      <c r="N195" s="22">
        <v>46.66</v>
      </c>
    </row>
    <row r="196" spans="1:14" ht="24.95" customHeight="1">
      <c r="A196" s="3" t="s">
        <v>796</v>
      </c>
      <c r="B196" s="21">
        <v>45451</v>
      </c>
      <c r="C196" s="3" t="s">
        <v>797</v>
      </c>
      <c r="D196" s="3" t="s">
        <v>16</v>
      </c>
      <c r="E196" s="19">
        <v>1</v>
      </c>
      <c r="F196" s="22">
        <v>249.57</v>
      </c>
      <c r="G196" s="3" t="s">
        <v>798</v>
      </c>
      <c r="H196" s="3" t="s">
        <v>65</v>
      </c>
      <c r="I196" s="3" t="s">
        <v>19</v>
      </c>
      <c r="J196" s="3" t="s">
        <v>799</v>
      </c>
      <c r="K196" s="19">
        <v>3</v>
      </c>
      <c r="L196" s="3" t="s">
        <v>37</v>
      </c>
      <c r="M196" s="3" t="s">
        <v>76</v>
      </c>
      <c r="N196" s="22">
        <v>249.57</v>
      </c>
    </row>
    <row r="197" spans="1:14" ht="24.95" customHeight="1">
      <c r="A197" s="3" t="s">
        <v>800</v>
      </c>
      <c r="B197" s="21">
        <v>45404</v>
      </c>
      <c r="C197" s="3" t="s">
        <v>801</v>
      </c>
      <c r="D197" s="3" t="s">
        <v>41</v>
      </c>
      <c r="E197" s="19">
        <v>3</v>
      </c>
      <c r="F197" s="22">
        <v>619.21</v>
      </c>
      <c r="G197" s="3" t="s">
        <v>802</v>
      </c>
      <c r="H197" s="3" t="s">
        <v>18</v>
      </c>
      <c r="I197" s="3" t="s">
        <v>35</v>
      </c>
      <c r="J197" s="3" t="s">
        <v>803</v>
      </c>
      <c r="K197" s="19">
        <v>6</v>
      </c>
      <c r="L197" s="3" t="s">
        <v>1192</v>
      </c>
      <c r="M197" s="3" t="s">
        <v>38</v>
      </c>
      <c r="N197" s="22">
        <v>1857.63</v>
      </c>
    </row>
    <row r="198" spans="1:14" ht="24.95" customHeight="1">
      <c r="A198" s="3" t="s">
        <v>804</v>
      </c>
      <c r="B198" s="21">
        <v>45681</v>
      </c>
      <c r="C198" s="3" t="s">
        <v>805</v>
      </c>
      <c r="D198" s="3" t="s">
        <v>73</v>
      </c>
      <c r="E198" s="19">
        <v>4</v>
      </c>
      <c r="F198" s="22">
        <v>217.13</v>
      </c>
      <c r="G198" s="3" t="s">
        <v>806</v>
      </c>
      <c r="H198" s="3" t="s">
        <v>65</v>
      </c>
      <c r="I198" s="3" t="s">
        <v>50</v>
      </c>
      <c r="J198" s="3" t="s">
        <v>807</v>
      </c>
      <c r="K198" s="19">
        <v>8</v>
      </c>
      <c r="L198" s="3" t="s">
        <v>81</v>
      </c>
      <c r="M198" s="3" t="s">
        <v>38</v>
      </c>
      <c r="N198" s="22">
        <v>868.52</v>
      </c>
    </row>
    <row r="199" spans="1:14" ht="24.95" customHeight="1">
      <c r="A199" s="3" t="s">
        <v>808</v>
      </c>
      <c r="B199" s="21">
        <v>45165</v>
      </c>
      <c r="C199" s="3" t="s">
        <v>809</v>
      </c>
      <c r="D199" s="3" t="s">
        <v>58</v>
      </c>
      <c r="E199" s="19">
        <v>5</v>
      </c>
      <c r="F199" s="22">
        <v>221.51</v>
      </c>
      <c r="G199" s="3" t="s">
        <v>810</v>
      </c>
      <c r="H199" s="3" t="s">
        <v>65</v>
      </c>
      <c r="I199" s="3" t="s">
        <v>43</v>
      </c>
      <c r="J199" s="3" t="s">
        <v>811</v>
      </c>
      <c r="K199" s="19">
        <v>5</v>
      </c>
      <c r="L199" s="3" t="s">
        <v>81</v>
      </c>
      <c r="M199" s="3" t="s">
        <v>29</v>
      </c>
      <c r="N199" s="22">
        <v>1107.55</v>
      </c>
    </row>
    <row r="200" spans="1:14" ht="24.95" customHeight="1">
      <c r="A200" s="3" t="s">
        <v>812</v>
      </c>
      <c r="B200" s="21">
        <v>45454</v>
      </c>
      <c r="C200" s="3" t="s">
        <v>813</v>
      </c>
      <c r="D200" s="3" t="s">
        <v>58</v>
      </c>
      <c r="E200" s="19">
        <v>4</v>
      </c>
      <c r="F200" s="22">
        <v>340.3</v>
      </c>
      <c r="G200" s="3" t="s">
        <v>177</v>
      </c>
      <c r="H200" s="3" t="s">
        <v>65</v>
      </c>
      <c r="I200" s="3" t="s">
        <v>35</v>
      </c>
      <c r="J200" s="3" t="s">
        <v>814</v>
      </c>
      <c r="K200" s="19">
        <v>8</v>
      </c>
      <c r="L200" s="3" t="s">
        <v>21</v>
      </c>
      <c r="M200" s="3" t="s">
        <v>29</v>
      </c>
      <c r="N200" s="22">
        <v>1361.2</v>
      </c>
    </row>
    <row r="201" spans="1:14" ht="24.95" customHeight="1">
      <c r="A201" s="3" t="s">
        <v>815</v>
      </c>
      <c r="B201" s="21">
        <v>45680</v>
      </c>
      <c r="C201" s="3" t="s">
        <v>816</v>
      </c>
      <c r="D201" s="3" t="s">
        <v>25</v>
      </c>
      <c r="E201" s="19">
        <v>1</v>
      </c>
      <c r="F201" s="22">
        <v>625</v>
      </c>
      <c r="G201" s="3" t="s">
        <v>817</v>
      </c>
      <c r="H201" s="3" t="s">
        <v>27</v>
      </c>
      <c r="I201" s="3" t="s">
        <v>43</v>
      </c>
      <c r="J201" s="3" t="s">
        <v>818</v>
      </c>
      <c r="K201" s="19">
        <v>5</v>
      </c>
      <c r="L201" s="3" t="s">
        <v>81</v>
      </c>
      <c r="M201" s="3" t="s">
        <v>76</v>
      </c>
      <c r="N201" s="22">
        <v>625</v>
      </c>
    </row>
    <row r="202" spans="1:14" ht="24.95" customHeight="1">
      <c r="A202" s="3" t="s">
        <v>819</v>
      </c>
      <c r="B202" s="21">
        <v>45815</v>
      </c>
      <c r="C202" s="3" t="s">
        <v>820</v>
      </c>
      <c r="D202" s="3" t="s">
        <v>32</v>
      </c>
      <c r="E202" s="19">
        <v>5</v>
      </c>
      <c r="F202" s="22">
        <v>433.26</v>
      </c>
      <c r="G202" s="3" t="s">
        <v>161</v>
      </c>
      <c r="H202" s="3" t="s">
        <v>34</v>
      </c>
      <c r="I202" s="3" t="s">
        <v>50</v>
      </c>
      <c r="J202" s="3" t="s">
        <v>821</v>
      </c>
      <c r="K202" s="19">
        <v>9</v>
      </c>
      <c r="L202" s="3" t="s">
        <v>21</v>
      </c>
      <c r="M202" s="3" t="s">
        <v>76</v>
      </c>
      <c r="N202" s="22">
        <v>2166.3000000000002</v>
      </c>
    </row>
    <row r="203" spans="1:14" ht="24.95" customHeight="1">
      <c r="A203" s="3" t="s">
        <v>822</v>
      </c>
      <c r="B203" s="21">
        <v>45095</v>
      </c>
      <c r="C203" s="3" t="s">
        <v>823</v>
      </c>
      <c r="D203" s="3" t="s">
        <v>16</v>
      </c>
      <c r="E203" s="19">
        <v>2</v>
      </c>
      <c r="F203" s="22">
        <v>674.9</v>
      </c>
      <c r="G203" s="3" t="s">
        <v>347</v>
      </c>
      <c r="H203" s="3" t="s">
        <v>27</v>
      </c>
      <c r="I203" s="3" t="s">
        <v>19</v>
      </c>
      <c r="J203" s="3" t="s">
        <v>824</v>
      </c>
      <c r="K203" s="19">
        <v>4</v>
      </c>
      <c r="L203" s="3" t="s">
        <v>21</v>
      </c>
      <c r="M203" s="3" t="s">
        <v>45</v>
      </c>
      <c r="N203" s="22">
        <v>1349.8</v>
      </c>
    </row>
    <row r="204" spans="1:14" ht="24.95" customHeight="1">
      <c r="A204" s="3" t="s">
        <v>825</v>
      </c>
      <c r="B204" s="21">
        <v>45694</v>
      </c>
      <c r="C204" s="3" t="s">
        <v>826</v>
      </c>
      <c r="D204" s="3" t="s">
        <v>16</v>
      </c>
      <c r="E204" s="19">
        <v>3</v>
      </c>
      <c r="F204" s="22">
        <v>253.98</v>
      </c>
      <c r="G204" s="3" t="s">
        <v>565</v>
      </c>
      <c r="H204" s="3" t="s">
        <v>34</v>
      </c>
      <c r="I204" s="3" t="s">
        <v>35</v>
      </c>
      <c r="J204" s="3" t="s">
        <v>827</v>
      </c>
      <c r="K204" s="19">
        <v>3</v>
      </c>
      <c r="L204" s="3" t="s">
        <v>37</v>
      </c>
      <c r="M204" s="3" t="s">
        <v>38</v>
      </c>
      <c r="N204" s="22">
        <v>761.93999999999994</v>
      </c>
    </row>
    <row r="205" spans="1:14" ht="24.95" customHeight="1">
      <c r="A205" s="3" t="s">
        <v>828</v>
      </c>
      <c r="B205" s="21">
        <v>45678</v>
      </c>
      <c r="C205" s="3" t="s">
        <v>829</v>
      </c>
      <c r="D205" s="3" t="s">
        <v>48</v>
      </c>
      <c r="E205" s="19">
        <v>3</v>
      </c>
      <c r="F205" s="22">
        <v>356.84</v>
      </c>
      <c r="G205" s="3" t="s">
        <v>830</v>
      </c>
      <c r="H205" s="3" t="s">
        <v>27</v>
      </c>
      <c r="I205" s="3" t="s">
        <v>19</v>
      </c>
      <c r="J205" s="3" t="s">
        <v>831</v>
      </c>
      <c r="K205" s="19">
        <v>5</v>
      </c>
      <c r="L205" s="3" t="s">
        <v>21</v>
      </c>
      <c r="M205" s="3" t="s">
        <v>22</v>
      </c>
      <c r="N205" s="22">
        <v>1070.52</v>
      </c>
    </row>
    <row r="206" spans="1:14" ht="24.95" customHeight="1">
      <c r="A206" s="3" t="s">
        <v>832</v>
      </c>
      <c r="B206" s="21">
        <v>45174</v>
      </c>
      <c r="C206" s="3" t="s">
        <v>833</v>
      </c>
      <c r="D206" s="3" t="s">
        <v>58</v>
      </c>
      <c r="E206" s="19">
        <v>4</v>
      </c>
      <c r="F206" s="22">
        <v>413.71</v>
      </c>
      <c r="G206" s="3" t="s">
        <v>584</v>
      </c>
      <c r="H206" s="3" t="s">
        <v>60</v>
      </c>
      <c r="I206" s="3" t="s">
        <v>35</v>
      </c>
      <c r="J206" s="3" t="s">
        <v>834</v>
      </c>
      <c r="K206" s="19">
        <v>9</v>
      </c>
      <c r="L206" s="3" t="s">
        <v>37</v>
      </c>
      <c r="M206" s="3" t="s">
        <v>45</v>
      </c>
      <c r="N206" s="22">
        <v>1654.84</v>
      </c>
    </row>
    <row r="207" spans="1:14" ht="24.95" customHeight="1">
      <c r="A207" s="3" t="s">
        <v>835</v>
      </c>
      <c r="B207" s="21">
        <v>44989</v>
      </c>
      <c r="C207" s="3" t="s">
        <v>836</v>
      </c>
      <c r="D207" s="3" t="s">
        <v>73</v>
      </c>
      <c r="E207" s="19">
        <v>3</v>
      </c>
      <c r="F207" s="22">
        <v>147.38999999999999</v>
      </c>
      <c r="G207" s="3" t="s">
        <v>837</v>
      </c>
      <c r="H207" s="3" t="s">
        <v>18</v>
      </c>
      <c r="I207" s="3" t="s">
        <v>43</v>
      </c>
      <c r="J207" s="3" t="s">
        <v>838</v>
      </c>
      <c r="K207" s="19">
        <v>3</v>
      </c>
      <c r="L207" s="3" t="s">
        <v>1192</v>
      </c>
      <c r="M207" s="3" t="s">
        <v>38</v>
      </c>
      <c r="N207" s="22">
        <v>442.17</v>
      </c>
    </row>
    <row r="208" spans="1:14" ht="24.95" customHeight="1">
      <c r="A208" s="3" t="s">
        <v>839</v>
      </c>
      <c r="B208" s="21">
        <v>45398</v>
      </c>
      <c r="C208" s="3" t="s">
        <v>840</v>
      </c>
      <c r="D208" s="3" t="s">
        <v>58</v>
      </c>
      <c r="E208" s="19">
        <v>4</v>
      </c>
      <c r="F208" s="22">
        <v>229.1</v>
      </c>
      <c r="G208" s="3" t="s">
        <v>841</v>
      </c>
      <c r="H208" s="3" t="s">
        <v>60</v>
      </c>
      <c r="I208" s="3" t="s">
        <v>43</v>
      </c>
      <c r="J208" s="3" t="s">
        <v>842</v>
      </c>
      <c r="K208" s="19">
        <v>8</v>
      </c>
      <c r="L208" s="3" t="s">
        <v>81</v>
      </c>
      <c r="M208" s="3" t="s">
        <v>38</v>
      </c>
      <c r="N208" s="22">
        <v>916.4</v>
      </c>
    </row>
    <row r="209" spans="1:14" ht="24.95" customHeight="1">
      <c r="A209" s="3" t="s">
        <v>843</v>
      </c>
      <c r="B209" s="21">
        <v>45734</v>
      </c>
      <c r="C209" s="3" t="s">
        <v>844</v>
      </c>
      <c r="D209" s="3" t="s">
        <v>25</v>
      </c>
      <c r="E209" s="19">
        <v>1</v>
      </c>
      <c r="F209" s="22">
        <v>121.96</v>
      </c>
      <c r="G209" s="3" t="s">
        <v>845</v>
      </c>
      <c r="H209" s="3" t="s">
        <v>18</v>
      </c>
      <c r="I209" s="3" t="s">
        <v>50</v>
      </c>
      <c r="J209" s="3" t="s">
        <v>846</v>
      </c>
      <c r="K209" s="19">
        <v>3</v>
      </c>
      <c r="L209" s="3" t="s">
        <v>1192</v>
      </c>
      <c r="M209" s="3" t="s">
        <v>76</v>
      </c>
      <c r="N209" s="22">
        <v>121.96</v>
      </c>
    </row>
    <row r="210" spans="1:14" ht="24.95" customHeight="1">
      <c r="A210" s="3" t="s">
        <v>847</v>
      </c>
      <c r="B210" s="21">
        <v>45573</v>
      </c>
      <c r="C210" s="3" t="s">
        <v>848</v>
      </c>
      <c r="D210" s="3" t="s">
        <v>73</v>
      </c>
      <c r="E210" s="19">
        <v>2</v>
      </c>
      <c r="F210" s="22">
        <v>408.32</v>
      </c>
      <c r="G210" s="3" t="s">
        <v>779</v>
      </c>
      <c r="H210" s="3" t="s">
        <v>27</v>
      </c>
      <c r="I210" s="3" t="s">
        <v>19</v>
      </c>
      <c r="J210" s="3" t="s">
        <v>849</v>
      </c>
      <c r="K210" s="19">
        <v>3</v>
      </c>
      <c r="L210" s="3" t="s">
        <v>37</v>
      </c>
      <c r="M210" s="3" t="s">
        <v>45</v>
      </c>
      <c r="N210" s="22">
        <v>816.64</v>
      </c>
    </row>
    <row r="211" spans="1:14" ht="24.95" customHeight="1">
      <c r="A211" s="3" t="s">
        <v>850</v>
      </c>
      <c r="B211" s="21">
        <v>45167</v>
      </c>
      <c r="C211" s="3" t="s">
        <v>851</v>
      </c>
      <c r="D211" s="3" t="s">
        <v>32</v>
      </c>
      <c r="E211" s="19">
        <v>5</v>
      </c>
      <c r="F211" s="22">
        <v>187.97</v>
      </c>
      <c r="G211" s="3" t="s">
        <v>64</v>
      </c>
      <c r="H211" s="3" t="s">
        <v>65</v>
      </c>
      <c r="I211" s="3" t="s">
        <v>43</v>
      </c>
      <c r="J211" s="3" t="s">
        <v>852</v>
      </c>
      <c r="K211" s="19">
        <v>9</v>
      </c>
      <c r="L211" s="3" t="s">
        <v>21</v>
      </c>
      <c r="M211" s="3" t="s">
        <v>76</v>
      </c>
      <c r="N211" s="22">
        <v>939.85</v>
      </c>
    </row>
    <row r="212" spans="1:14" ht="24.95" customHeight="1">
      <c r="A212" s="3" t="s">
        <v>853</v>
      </c>
      <c r="B212" s="21">
        <v>45631</v>
      </c>
      <c r="C212" s="3" t="s">
        <v>854</v>
      </c>
      <c r="D212" s="3" t="s">
        <v>41</v>
      </c>
      <c r="E212" s="19">
        <v>3</v>
      </c>
      <c r="F212" s="22">
        <v>358.48</v>
      </c>
      <c r="G212" s="3" t="s">
        <v>553</v>
      </c>
      <c r="H212" s="3" t="s">
        <v>60</v>
      </c>
      <c r="I212" s="3" t="s">
        <v>50</v>
      </c>
      <c r="J212" s="3" t="s">
        <v>855</v>
      </c>
      <c r="K212" s="19">
        <v>7</v>
      </c>
      <c r="L212" s="3" t="s">
        <v>37</v>
      </c>
      <c r="M212" s="3" t="s">
        <v>45</v>
      </c>
      <c r="N212" s="22">
        <v>1075.44</v>
      </c>
    </row>
    <row r="213" spans="1:14" ht="24.95" customHeight="1">
      <c r="A213" s="3" t="s">
        <v>856</v>
      </c>
      <c r="B213" s="21">
        <v>45660</v>
      </c>
      <c r="C213" s="3" t="s">
        <v>857</v>
      </c>
      <c r="D213" s="3" t="s">
        <v>48</v>
      </c>
      <c r="E213" s="19">
        <v>3</v>
      </c>
      <c r="F213" s="22">
        <v>193.58</v>
      </c>
      <c r="G213" s="3" t="s">
        <v>858</v>
      </c>
      <c r="H213" s="3" t="s">
        <v>60</v>
      </c>
      <c r="I213" s="3" t="s">
        <v>89</v>
      </c>
      <c r="J213" s="3" t="s">
        <v>859</v>
      </c>
      <c r="K213" s="19">
        <v>7</v>
      </c>
      <c r="L213" s="3" t="s">
        <v>37</v>
      </c>
      <c r="M213" s="3" t="s">
        <v>38</v>
      </c>
      <c r="N213" s="22">
        <v>580.74</v>
      </c>
    </row>
    <row r="214" spans="1:14" ht="24.95" customHeight="1">
      <c r="A214" s="3" t="s">
        <v>860</v>
      </c>
      <c r="B214" s="21">
        <v>45097</v>
      </c>
      <c r="C214" s="3" t="s">
        <v>861</v>
      </c>
      <c r="D214" s="3" t="s">
        <v>16</v>
      </c>
      <c r="E214" s="19">
        <v>1</v>
      </c>
      <c r="F214" s="22">
        <v>265.38</v>
      </c>
      <c r="G214" s="3" t="s">
        <v>862</v>
      </c>
      <c r="H214" s="3" t="s">
        <v>34</v>
      </c>
      <c r="I214" s="3" t="s">
        <v>35</v>
      </c>
      <c r="J214" s="3" t="s">
        <v>863</v>
      </c>
      <c r="K214" s="19">
        <v>6</v>
      </c>
      <c r="L214" s="3" t="s">
        <v>81</v>
      </c>
      <c r="M214" s="3" t="s">
        <v>38</v>
      </c>
      <c r="N214" s="22">
        <v>265.38</v>
      </c>
    </row>
    <row r="215" spans="1:14" ht="24.95" customHeight="1">
      <c r="A215" s="3" t="s">
        <v>864</v>
      </c>
      <c r="B215" s="21">
        <v>45036</v>
      </c>
      <c r="C215" s="3" t="s">
        <v>865</v>
      </c>
      <c r="D215" s="3" t="s">
        <v>58</v>
      </c>
      <c r="E215" s="19">
        <v>1</v>
      </c>
      <c r="F215" s="22">
        <v>634.4</v>
      </c>
      <c r="G215" s="3" t="s">
        <v>866</v>
      </c>
      <c r="H215" s="3" t="s">
        <v>65</v>
      </c>
      <c r="I215" s="3" t="s">
        <v>35</v>
      </c>
      <c r="J215" s="3" t="s">
        <v>867</v>
      </c>
      <c r="K215" s="19">
        <v>6</v>
      </c>
      <c r="L215" s="3" t="s">
        <v>21</v>
      </c>
      <c r="M215" s="3" t="s">
        <v>38</v>
      </c>
      <c r="N215" s="22">
        <v>634.4</v>
      </c>
    </row>
    <row r="216" spans="1:14" ht="24.95" customHeight="1">
      <c r="A216" s="3" t="s">
        <v>868</v>
      </c>
      <c r="B216" s="21">
        <v>45525</v>
      </c>
      <c r="C216" s="3" t="s">
        <v>869</v>
      </c>
      <c r="D216" s="3" t="s">
        <v>73</v>
      </c>
      <c r="E216" s="19">
        <v>4</v>
      </c>
      <c r="F216" s="22">
        <v>305.72000000000003</v>
      </c>
      <c r="G216" s="3" t="s">
        <v>517</v>
      </c>
      <c r="H216" s="3" t="s">
        <v>27</v>
      </c>
      <c r="I216" s="3" t="s">
        <v>50</v>
      </c>
      <c r="J216" s="3" t="s">
        <v>870</v>
      </c>
      <c r="K216" s="19">
        <v>5</v>
      </c>
      <c r="L216" s="3" t="s">
        <v>1192</v>
      </c>
      <c r="M216" s="3" t="s">
        <v>45</v>
      </c>
      <c r="N216" s="22">
        <v>1222.8800000000001</v>
      </c>
    </row>
    <row r="217" spans="1:14" ht="24.95" customHeight="1">
      <c r="A217" s="3" t="s">
        <v>871</v>
      </c>
      <c r="B217" s="21">
        <v>45148</v>
      </c>
      <c r="C217" s="3" t="s">
        <v>872</v>
      </c>
      <c r="D217" s="3" t="s">
        <v>48</v>
      </c>
      <c r="E217" s="19">
        <v>1</v>
      </c>
      <c r="F217" s="22">
        <v>303.60000000000002</v>
      </c>
      <c r="G217" s="3" t="s">
        <v>873</v>
      </c>
      <c r="H217" s="3" t="s">
        <v>65</v>
      </c>
      <c r="I217" s="3" t="s">
        <v>19</v>
      </c>
      <c r="J217" s="3" t="s">
        <v>874</v>
      </c>
      <c r="K217" s="19">
        <v>5</v>
      </c>
      <c r="L217" s="3" t="s">
        <v>37</v>
      </c>
      <c r="M217" s="3" t="s">
        <v>45</v>
      </c>
      <c r="N217" s="22">
        <v>303.60000000000002</v>
      </c>
    </row>
    <row r="218" spans="1:14" ht="24.95" customHeight="1">
      <c r="A218" s="3" t="s">
        <v>875</v>
      </c>
      <c r="B218" s="21">
        <v>45762</v>
      </c>
      <c r="C218" s="3" t="s">
        <v>876</v>
      </c>
      <c r="D218" s="3" t="s">
        <v>16</v>
      </c>
      <c r="E218" s="19">
        <v>4</v>
      </c>
      <c r="F218" s="22">
        <v>496</v>
      </c>
      <c r="G218" s="3" t="s">
        <v>273</v>
      </c>
      <c r="H218" s="3" t="s">
        <v>27</v>
      </c>
      <c r="I218" s="3" t="s">
        <v>35</v>
      </c>
      <c r="J218" s="3" t="s">
        <v>877</v>
      </c>
      <c r="K218" s="19">
        <v>8</v>
      </c>
      <c r="L218" s="3" t="s">
        <v>81</v>
      </c>
      <c r="M218" s="3" t="s">
        <v>76</v>
      </c>
      <c r="N218" s="22">
        <v>1984</v>
      </c>
    </row>
    <row r="219" spans="1:14" ht="24.95" customHeight="1">
      <c r="A219" s="3" t="s">
        <v>878</v>
      </c>
      <c r="B219" s="21">
        <v>45432</v>
      </c>
      <c r="C219" s="3" t="s">
        <v>879</v>
      </c>
      <c r="D219" s="3" t="s">
        <v>73</v>
      </c>
      <c r="E219" s="19">
        <v>4</v>
      </c>
      <c r="F219" s="22">
        <v>321.51</v>
      </c>
      <c r="G219" s="3" t="s">
        <v>880</v>
      </c>
      <c r="H219" s="3" t="s">
        <v>65</v>
      </c>
      <c r="I219" s="3" t="s">
        <v>43</v>
      </c>
      <c r="J219" s="3" t="s">
        <v>881</v>
      </c>
      <c r="K219" s="19">
        <v>9</v>
      </c>
      <c r="L219" s="3" t="s">
        <v>1192</v>
      </c>
      <c r="M219" s="3" t="s">
        <v>76</v>
      </c>
      <c r="N219" s="22">
        <v>1286.04</v>
      </c>
    </row>
    <row r="220" spans="1:14" ht="24.95" customHeight="1">
      <c r="A220" s="3" t="s">
        <v>882</v>
      </c>
      <c r="B220" s="21">
        <v>45044</v>
      </c>
      <c r="C220" s="3" t="s">
        <v>883</v>
      </c>
      <c r="D220" s="3" t="s">
        <v>32</v>
      </c>
      <c r="E220" s="19">
        <v>3</v>
      </c>
      <c r="F220" s="22">
        <v>112.46</v>
      </c>
      <c r="G220" s="3" t="s">
        <v>884</v>
      </c>
      <c r="H220" s="3" t="s">
        <v>60</v>
      </c>
      <c r="I220" s="3" t="s">
        <v>19</v>
      </c>
      <c r="J220" s="3" t="s">
        <v>885</v>
      </c>
      <c r="K220" s="19">
        <v>6</v>
      </c>
      <c r="L220" s="3" t="s">
        <v>21</v>
      </c>
      <c r="M220" s="3" t="s">
        <v>22</v>
      </c>
      <c r="N220" s="22">
        <v>337.38</v>
      </c>
    </row>
    <row r="221" spans="1:14" ht="24.95" customHeight="1">
      <c r="A221" s="3" t="s">
        <v>886</v>
      </c>
      <c r="B221" s="21">
        <v>45779</v>
      </c>
      <c r="C221" s="3" t="s">
        <v>887</v>
      </c>
      <c r="D221" s="3" t="s">
        <v>58</v>
      </c>
      <c r="E221" s="19">
        <v>5</v>
      </c>
      <c r="F221" s="22">
        <v>61.97</v>
      </c>
      <c r="G221" s="3" t="s">
        <v>888</v>
      </c>
      <c r="H221" s="3" t="s">
        <v>65</v>
      </c>
      <c r="I221" s="3" t="s">
        <v>50</v>
      </c>
      <c r="J221" s="3" t="s">
        <v>889</v>
      </c>
      <c r="K221" s="19">
        <v>6</v>
      </c>
      <c r="L221" s="3" t="s">
        <v>21</v>
      </c>
      <c r="M221" s="3" t="s">
        <v>38</v>
      </c>
      <c r="N221" s="22">
        <v>309.85000000000002</v>
      </c>
    </row>
    <row r="222" spans="1:14" ht="24.95" customHeight="1">
      <c r="A222" s="3" t="s">
        <v>890</v>
      </c>
      <c r="B222" s="21">
        <v>45125</v>
      </c>
      <c r="C222" s="3" t="s">
        <v>891</v>
      </c>
      <c r="D222" s="3" t="s">
        <v>58</v>
      </c>
      <c r="E222" s="19">
        <v>2</v>
      </c>
      <c r="F222" s="22">
        <v>373.17</v>
      </c>
      <c r="G222" s="3" t="s">
        <v>892</v>
      </c>
      <c r="H222" s="3" t="s">
        <v>34</v>
      </c>
      <c r="I222" s="3" t="s">
        <v>89</v>
      </c>
      <c r="J222" s="3" t="s">
        <v>893</v>
      </c>
      <c r="K222" s="19">
        <v>6</v>
      </c>
      <c r="L222" s="3" t="s">
        <v>21</v>
      </c>
      <c r="M222" s="3" t="s">
        <v>29</v>
      </c>
      <c r="N222" s="22">
        <v>746.34</v>
      </c>
    </row>
    <row r="223" spans="1:14" ht="24.95" customHeight="1">
      <c r="A223" s="3" t="s">
        <v>894</v>
      </c>
      <c r="B223" s="21">
        <v>45345</v>
      </c>
      <c r="C223" s="3" t="s">
        <v>895</v>
      </c>
      <c r="D223" s="3" t="s">
        <v>32</v>
      </c>
      <c r="E223" s="19">
        <v>5</v>
      </c>
      <c r="F223" s="22">
        <v>639.37</v>
      </c>
      <c r="G223" s="3" t="s">
        <v>312</v>
      </c>
      <c r="H223" s="3" t="s">
        <v>18</v>
      </c>
      <c r="I223" s="3" t="s">
        <v>89</v>
      </c>
      <c r="J223" s="3" t="s">
        <v>896</v>
      </c>
      <c r="K223" s="19">
        <v>6</v>
      </c>
      <c r="L223" s="3" t="s">
        <v>21</v>
      </c>
      <c r="M223" s="3" t="s">
        <v>76</v>
      </c>
      <c r="N223" s="22">
        <v>3196.85</v>
      </c>
    </row>
    <row r="224" spans="1:14" ht="24.95" customHeight="1">
      <c r="A224" s="3" t="s">
        <v>897</v>
      </c>
      <c r="B224" s="21">
        <v>45050</v>
      </c>
      <c r="C224" s="3" t="s">
        <v>898</v>
      </c>
      <c r="D224" s="3" t="s">
        <v>41</v>
      </c>
      <c r="E224" s="19">
        <v>4</v>
      </c>
      <c r="F224" s="22">
        <v>693.36</v>
      </c>
      <c r="G224" s="3" t="s">
        <v>899</v>
      </c>
      <c r="H224" s="3" t="s">
        <v>27</v>
      </c>
      <c r="I224" s="3" t="s">
        <v>19</v>
      </c>
      <c r="J224" s="3" t="s">
        <v>900</v>
      </c>
      <c r="K224" s="19">
        <v>8</v>
      </c>
      <c r="L224" s="3" t="s">
        <v>1192</v>
      </c>
      <c r="M224" s="3" t="s">
        <v>22</v>
      </c>
      <c r="N224" s="22">
        <v>2773.44</v>
      </c>
    </row>
    <row r="225" spans="1:14" ht="24.95" customHeight="1">
      <c r="A225" s="3" t="s">
        <v>901</v>
      </c>
      <c r="B225" s="21">
        <v>45546</v>
      </c>
      <c r="C225" s="3" t="s">
        <v>902</v>
      </c>
      <c r="D225" s="3" t="s">
        <v>25</v>
      </c>
      <c r="E225" s="19">
        <v>4</v>
      </c>
      <c r="F225" s="22">
        <v>692.91</v>
      </c>
      <c r="G225" s="3" t="s">
        <v>517</v>
      </c>
      <c r="H225" s="3" t="s">
        <v>34</v>
      </c>
      <c r="I225" s="3" t="s">
        <v>89</v>
      </c>
      <c r="J225" s="3" t="s">
        <v>903</v>
      </c>
      <c r="K225" s="19">
        <v>9</v>
      </c>
      <c r="L225" s="3" t="s">
        <v>21</v>
      </c>
      <c r="M225" s="3" t="s">
        <v>22</v>
      </c>
      <c r="N225" s="22">
        <v>2771.64</v>
      </c>
    </row>
    <row r="226" spans="1:14" ht="24.95" customHeight="1">
      <c r="A226" s="3" t="s">
        <v>904</v>
      </c>
      <c r="B226" s="21">
        <v>45192</v>
      </c>
      <c r="C226" s="3" t="s">
        <v>905</v>
      </c>
      <c r="D226" s="3" t="s">
        <v>48</v>
      </c>
      <c r="E226" s="19">
        <v>4</v>
      </c>
      <c r="F226" s="22">
        <v>91.46</v>
      </c>
      <c r="G226" s="3" t="s">
        <v>906</v>
      </c>
      <c r="H226" s="3" t="s">
        <v>65</v>
      </c>
      <c r="I226" s="3" t="s">
        <v>35</v>
      </c>
      <c r="J226" s="3" t="s">
        <v>907</v>
      </c>
      <c r="K226" s="19">
        <v>9</v>
      </c>
      <c r="L226" s="3" t="s">
        <v>21</v>
      </c>
      <c r="M226" s="3" t="s">
        <v>29</v>
      </c>
      <c r="N226" s="22">
        <v>365.84</v>
      </c>
    </row>
    <row r="227" spans="1:14" ht="24.95" customHeight="1">
      <c r="A227" s="3" t="s">
        <v>908</v>
      </c>
      <c r="B227" s="21">
        <v>45364</v>
      </c>
      <c r="C227" s="3" t="s">
        <v>909</v>
      </c>
      <c r="D227" s="3" t="s">
        <v>25</v>
      </c>
      <c r="E227" s="19">
        <v>3</v>
      </c>
      <c r="F227" s="22">
        <v>273.95999999999998</v>
      </c>
      <c r="G227" s="3" t="s">
        <v>910</v>
      </c>
      <c r="H227" s="3" t="s">
        <v>18</v>
      </c>
      <c r="I227" s="3" t="s">
        <v>43</v>
      </c>
      <c r="J227" s="3" t="s">
        <v>911</v>
      </c>
      <c r="K227" s="19">
        <v>8</v>
      </c>
      <c r="L227" s="3" t="s">
        <v>21</v>
      </c>
      <c r="M227" s="3" t="s">
        <v>76</v>
      </c>
      <c r="N227" s="22">
        <v>821.87999999999988</v>
      </c>
    </row>
    <row r="228" spans="1:14" ht="24.95" customHeight="1">
      <c r="A228" s="3" t="s">
        <v>912</v>
      </c>
      <c r="B228" s="21">
        <v>45835</v>
      </c>
      <c r="C228" s="3" t="s">
        <v>913</v>
      </c>
      <c r="D228" s="3" t="s">
        <v>73</v>
      </c>
      <c r="E228" s="19">
        <v>3</v>
      </c>
      <c r="F228" s="22">
        <v>588.04999999999995</v>
      </c>
      <c r="G228" s="3" t="s">
        <v>914</v>
      </c>
      <c r="H228" s="3" t="s">
        <v>60</v>
      </c>
      <c r="I228" s="3" t="s">
        <v>50</v>
      </c>
      <c r="J228" s="3" t="s">
        <v>915</v>
      </c>
      <c r="K228" s="19">
        <v>8</v>
      </c>
      <c r="L228" s="3" t="s">
        <v>1192</v>
      </c>
      <c r="M228" s="3" t="s">
        <v>22</v>
      </c>
      <c r="N228" s="22">
        <v>1764.15</v>
      </c>
    </row>
    <row r="229" spans="1:14" ht="24.95" customHeight="1">
      <c r="A229" s="3" t="s">
        <v>916</v>
      </c>
      <c r="B229" s="21">
        <v>45232</v>
      </c>
      <c r="C229" s="3" t="s">
        <v>917</v>
      </c>
      <c r="D229" s="3" t="s">
        <v>16</v>
      </c>
      <c r="E229" s="19">
        <v>2</v>
      </c>
      <c r="F229" s="22">
        <v>365.17</v>
      </c>
      <c r="G229" s="3" t="s">
        <v>537</v>
      </c>
      <c r="H229" s="3" t="s">
        <v>27</v>
      </c>
      <c r="I229" s="3" t="s">
        <v>35</v>
      </c>
      <c r="J229" s="3" t="s">
        <v>918</v>
      </c>
      <c r="K229" s="19">
        <v>4</v>
      </c>
      <c r="L229" s="3" t="s">
        <v>37</v>
      </c>
      <c r="M229" s="3" t="s">
        <v>45</v>
      </c>
      <c r="N229" s="22">
        <v>730.34</v>
      </c>
    </row>
    <row r="230" spans="1:14" ht="24.95" customHeight="1">
      <c r="A230" s="3" t="s">
        <v>919</v>
      </c>
      <c r="B230" s="21">
        <v>45063</v>
      </c>
      <c r="C230" s="3" t="s">
        <v>920</v>
      </c>
      <c r="D230" s="3" t="s">
        <v>41</v>
      </c>
      <c r="E230" s="19">
        <v>4</v>
      </c>
      <c r="F230" s="22">
        <v>385.92</v>
      </c>
      <c r="G230" s="3" t="s">
        <v>921</v>
      </c>
      <c r="H230" s="3" t="s">
        <v>34</v>
      </c>
      <c r="I230" s="3" t="s">
        <v>35</v>
      </c>
      <c r="J230" s="3" t="s">
        <v>922</v>
      </c>
      <c r="K230" s="19">
        <v>8</v>
      </c>
      <c r="L230" s="3" t="s">
        <v>1192</v>
      </c>
      <c r="M230" s="3" t="s">
        <v>22</v>
      </c>
      <c r="N230" s="22">
        <v>1543.68</v>
      </c>
    </row>
    <row r="231" spans="1:14" ht="24.95" customHeight="1">
      <c r="A231" s="3" t="s">
        <v>923</v>
      </c>
      <c r="B231" s="21">
        <v>45744</v>
      </c>
      <c r="C231" s="3" t="s">
        <v>924</v>
      </c>
      <c r="D231" s="3" t="s">
        <v>32</v>
      </c>
      <c r="E231" s="19">
        <v>1</v>
      </c>
      <c r="F231" s="22">
        <v>562.61</v>
      </c>
      <c r="G231" s="3" t="s">
        <v>925</v>
      </c>
      <c r="H231" s="3" t="s">
        <v>34</v>
      </c>
      <c r="I231" s="3" t="s">
        <v>50</v>
      </c>
      <c r="J231" s="3" t="s">
        <v>926</v>
      </c>
      <c r="K231" s="19">
        <v>3</v>
      </c>
      <c r="L231" s="3" t="s">
        <v>81</v>
      </c>
      <c r="M231" s="3" t="s">
        <v>45</v>
      </c>
      <c r="N231" s="22">
        <v>562.61</v>
      </c>
    </row>
    <row r="232" spans="1:14" ht="24.95" customHeight="1">
      <c r="A232" s="3" t="s">
        <v>927</v>
      </c>
      <c r="B232" s="21">
        <v>45276</v>
      </c>
      <c r="C232" s="3" t="s">
        <v>928</v>
      </c>
      <c r="D232" s="3" t="s">
        <v>73</v>
      </c>
      <c r="E232" s="19">
        <v>4</v>
      </c>
      <c r="F232" s="22">
        <v>61.91</v>
      </c>
      <c r="G232" s="3" t="s">
        <v>929</v>
      </c>
      <c r="H232" s="3" t="s">
        <v>60</v>
      </c>
      <c r="I232" s="3" t="s">
        <v>50</v>
      </c>
      <c r="J232" s="3" t="s">
        <v>930</v>
      </c>
      <c r="K232" s="19">
        <v>6</v>
      </c>
      <c r="L232" s="3" t="s">
        <v>81</v>
      </c>
      <c r="M232" s="3" t="s">
        <v>38</v>
      </c>
      <c r="N232" s="22">
        <v>247.64</v>
      </c>
    </row>
    <row r="233" spans="1:14" ht="24.95" customHeight="1">
      <c r="A233" s="3" t="s">
        <v>931</v>
      </c>
      <c r="B233" s="21">
        <v>45235</v>
      </c>
      <c r="C233" s="3" t="s">
        <v>932</v>
      </c>
      <c r="D233" s="3" t="s">
        <v>25</v>
      </c>
      <c r="E233" s="19">
        <v>4</v>
      </c>
      <c r="F233" s="22">
        <v>41.9</v>
      </c>
      <c r="G233" s="3" t="s">
        <v>933</v>
      </c>
      <c r="H233" s="3" t="s">
        <v>60</v>
      </c>
      <c r="I233" s="3" t="s">
        <v>89</v>
      </c>
      <c r="J233" s="3" t="s">
        <v>934</v>
      </c>
      <c r="K233" s="19">
        <v>9</v>
      </c>
      <c r="L233" s="3" t="s">
        <v>37</v>
      </c>
      <c r="M233" s="3" t="s">
        <v>22</v>
      </c>
      <c r="N233" s="22">
        <v>167.6</v>
      </c>
    </row>
    <row r="234" spans="1:14" ht="24.95" customHeight="1">
      <c r="A234" s="3" t="s">
        <v>935</v>
      </c>
      <c r="B234" s="21">
        <v>45065</v>
      </c>
      <c r="C234" s="3" t="s">
        <v>936</v>
      </c>
      <c r="D234" s="3" t="s">
        <v>48</v>
      </c>
      <c r="E234" s="19">
        <v>4</v>
      </c>
      <c r="F234" s="22">
        <v>444.44</v>
      </c>
      <c r="G234" s="3" t="s">
        <v>937</v>
      </c>
      <c r="H234" s="3" t="s">
        <v>18</v>
      </c>
      <c r="I234" s="3" t="s">
        <v>35</v>
      </c>
      <c r="J234" s="3" t="s">
        <v>938</v>
      </c>
      <c r="K234" s="19">
        <v>8</v>
      </c>
      <c r="L234" s="3" t="s">
        <v>81</v>
      </c>
      <c r="M234" s="3" t="s">
        <v>76</v>
      </c>
      <c r="N234" s="22">
        <v>1777.76</v>
      </c>
    </row>
    <row r="235" spans="1:14" ht="24.95" customHeight="1">
      <c r="A235" s="3" t="s">
        <v>939</v>
      </c>
      <c r="B235" s="21">
        <v>45528</v>
      </c>
      <c r="C235" s="3" t="s">
        <v>940</v>
      </c>
      <c r="D235" s="3" t="s">
        <v>25</v>
      </c>
      <c r="E235" s="19">
        <v>3</v>
      </c>
      <c r="F235" s="22">
        <v>311.33</v>
      </c>
      <c r="G235" s="3" t="s">
        <v>347</v>
      </c>
      <c r="H235" s="3" t="s">
        <v>65</v>
      </c>
      <c r="I235" s="3" t="s">
        <v>35</v>
      </c>
      <c r="J235" s="3" t="s">
        <v>941</v>
      </c>
      <c r="K235" s="19">
        <v>3</v>
      </c>
      <c r="L235" s="3" t="s">
        <v>81</v>
      </c>
      <c r="M235" s="3" t="s">
        <v>22</v>
      </c>
      <c r="N235" s="22">
        <v>933.99</v>
      </c>
    </row>
    <row r="236" spans="1:14" ht="24.95" customHeight="1">
      <c r="A236" s="3" t="s">
        <v>942</v>
      </c>
      <c r="B236" s="21">
        <v>45622</v>
      </c>
      <c r="C236" s="3" t="s">
        <v>943</v>
      </c>
      <c r="D236" s="3" t="s">
        <v>48</v>
      </c>
      <c r="E236" s="19">
        <v>4</v>
      </c>
      <c r="F236" s="22">
        <v>236.41</v>
      </c>
      <c r="G236" s="3" t="s">
        <v>944</v>
      </c>
      <c r="H236" s="3" t="s">
        <v>18</v>
      </c>
      <c r="I236" s="3" t="s">
        <v>89</v>
      </c>
      <c r="J236" s="3" t="s">
        <v>945</v>
      </c>
      <c r="K236" s="19">
        <v>7</v>
      </c>
      <c r="L236" s="3" t="s">
        <v>21</v>
      </c>
      <c r="M236" s="3" t="s">
        <v>76</v>
      </c>
      <c r="N236" s="22">
        <v>945.64</v>
      </c>
    </row>
    <row r="237" spans="1:14" ht="24.95" customHeight="1">
      <c r="A237" s="3" t="s">
        <v>946</v>
      </c>
      <c r="B237" s="21">
        <v>44977</v>
      </c>
      <c r="C237" s="3" t="s">
        <v>947</v>
      </c>
      <c r="D237" s="3" t="s">
        <v>73</v>
      </c>
      <c r="E237" s="19">
        <v>1</v>
      </c>
      <c r="F237" s="22">
        <v>65.45</v>
      </c>
      <c r="G237" s="3" t="s">
        <v>948</v>
      </c>
      <c r="H237" s="3" t="s">
        <v>65</v>
      </c>
      <c r="I237" s="3" t="s">
        <v>89</v>
      </c>
      <c r="J237" s="3" t="s">
        <v>949</v>
      </c>
      <c r="K237" s="19">
        <v>2</v>
      </c>
      <c r="L237" s="3" t="s">
        <v>81</v>
      </c>
      <c r="M237" s="3" t="s">
        <v>76</v>
      </c>
      <c r="N237" s="22">
        <v>65.45</v>
      </c>
    </row>
    <row r="238" spans="1:14" ht="24.95" customHeight="1">
      <c r="A238" s="3" t="s">
        <v>950</v>
      </c>
      <c r="B238" s="21">
        <v>44927</v>
      </c>
      <c r="C238" s="3" t="s">
        <v>951</v>
      </c>
      <c r="D238" s="3" t="s">
        <v>16</v>
      </c>
      <c r="E238" s="19">
        <v>1</v>
      </c>
      <c r="F238" s="22">
        <v>318.81</v>
      </c>
      <c r="G238" s="3" t="s">
        <v>952</v>
      </c>
      <c r="H238" s="3" t="s">
        <v>18</v>
      </c>
      <c r="I238" s="3" t="s">
        <v>89</v>
      </c>
      <c r="J238" s="3" t="s">
        <v>953</v>
      </c>
      <c r="K238" s="19">
        <v>3</v>
      </c>
      <c r="L238" s="3" t="s">
        <v>81</v>
      </c>
      <c r="M238" s="3" t="s">
        <v>38</v>
      </c>
      <c r="N238" s="22">
        <v>318.81</v>
      </c>
    </row>
    <row r="239" spans="1:14" ht="24.95" customHeight="1">
      <c r="A239" s="3" t="s">
        <v>954</v>
      </c>
      <c r="B239" s="21">
        <v>45365</v>
      </c>
      <c r="C239" s="3" t="s">
        <v>955</v>
      </c>
      <c r="D239" s="3" t="s">
        <v>16</v>
      </c>
      <c r="E239" s="19">
        <v>3</v>
      </c>
      <c r="F239" s="22">
        <v>583.72</v>
      </c>
      <c r="G239" s="3" t="s">
        <v>956</v>
      </c>
      <c r="H239" s="3" t="s">
        <v>34</v>
      </c>
      <c r="I239" s="3" t="s">
        <v>19</v>
      </c>
      <c r="J239" s="3" t="s">
        <v>957</v>
      </c>
      <c r="K239" s="19">
        <v>5</v>
      </c>
      <c r="L239" s="3" t="s">
        <v>37</v>
      </c>
      <c r="M239" s="3" t="s">
        <v>45</v>
      </c>
      <c r="N239" s="22">
        <v>1751.16</v>
      </c>
    </row>
    <row r="240" spans="1:14" ht="24.95" customHeight="1">
      <c r="A240" s="3" t="s">
        <v>958</v>
      </c>
      <c r="B240" s="21">
        <v>45639</v>
      </c>
      <c r="C240" s="3" t="s">
        <v>959</v>
      </c>
      <c r="D240" s="3" t="s">
        <v>73</v>
      </c>
      <c r="E240" s="19">
        <v>4</v>
      </c>
      <c r="F240" s="22">
        <v>384.32</v>
      </c>
      <c r="G240" s="3" t="s">
        <v>960</v>
      </c>
      <c r="H240" s="3" t="s">
        <v>34</v>
      </c>
      <c r="I240" s="3" t="s">
        <v>89</v>
      </c>
      <c r="J240" s="3" t="s">
        <v>961</v>
      </c>
      <c r="K240" s="19">
        <v>6</v>
      </c>
      <c r="L240" s="3" t="s">
        <v>81</v>
      </c>
      <c r="M240" s="3" t="s">
        <v>76</v>
      </c>
      <c r="N240" s="22">
        <v>1537.28</v>
      </c>
    </row>
    <row r="241" spans="1:14" ht="24.95" customHeight="1">
      <c r="A241" s="3" t="s">
        <v>962</v>
      </c>
      <c r="B241" s="21">
        <v>45637</v>
      </c>
      <c r="C241" s="3" t="s">
        <v>963</v>
      </c>
      <c r="D241" s="3" t="s">
        <v>32</v>
      </c>
      <c r="E241" s="19">
        <v>3</v>
      </c>
      <c r="F241" s="22">
        <v>538.74</v>
      </c>
      <c r="G241" s="3" t="s">
        <v>964</v>
      </c>
      <c r="H241" s="3" t="s">
        <v>27</v>
      </c>
      <c r="I241" s="3" t="s">
        <v>19</v>
      </c>
      <c r="J241" s="3" t="s">
        <v>965</v>
      </c>
      <c r="K241" s="19">
        <v>6</v>
      </c>
      <c r="L241" s="3" t="s">
        <v>37</v>
      </c>
      <c r="M241" s="3" t="s">
        <v>38</v>
      </c>
      <c r="N241" s="22">
        <v>1616.22</v>
      </c>
    </row>
    <row r="242" spans="1:14" ht="24.95" customHeight="1">
      <c r="A242" s="3" t="s">
        <v>966</v>
      </c>
      <c r="B242" s="21">
        <v>45119</v>
      </c>
      <c r="C242" s="3" t="s">
        <v>967</v>
      </c>
      <c r="D242" s="3" t="s">
        <v>32</v>
      </c>
      <c r="E242" s="19">
        <v>1</v>
      </c>
      <c r="F242" s="22">
        <v>17.239999999999998</v>
      </c>
      <c r="G242" s="3" t="s">
        <v>968</v>
      </c>
      <c r="H242" s="3" t="s">
        <v>27</v>
      </c>
      <c r="I242" s="3" t="s">
        <v>89</v>
      </c>
      <c r="J242" s="3" t="s">
        <v>969</v>
      </c>
      <c r="K242" s="19">
        <v>2</v>
      </c>
      <c r="L242" s="3" t="s">
        <v>37</v>
      </c>
      <c r="M242" s="3" t="s">
        <v>22</v>
      </c>
      <c r="N242" s="22">
        <v>17.239999999999998</v>
      </c>
    </row>
    <row r="243" spans="1:14" ht="24.95" customHeight="1">
      <c r="A243" s="3" t="s">
        <v>970</v>
      </c>
      <c r="B243" s="21">
        <v>45062</v>
      </c>
      <c r="C243" s="3" t="s">
        <v>971</v>
      </c>
      <c r="D243" s="3" t="s">
        <v>41</v>
      </c>
      <c r="E243" s="19">
        <v>5</v>
      </c>
      <c r="F243" s="22">
        <v>615.66999999999996</v>
      </c>
      <c r="G243" s="3" t="s">
        <v>972</v>
      </c>
      <c r="H243" s="3" t="s">
        <v>27</v>
      </c>
      <c r="I243" s="3" t="s">
        <v>89</v>
      </c>
      <c r="J243" s="3" t="s">
        <v>973</v>
      </c>
      <c r="K243" s="19">
        <v>6</v>
      </c>
      <c r="L243" s="3" t="s">
        <v>21</v>
      </c>
      <c r="M243" s="3" t="s">
        <v>38</v>
      </c>
      <c r="N243" s="22">
        <v>3078.35</v>
      </c>
    </row>
    <row r="244" spans="1:14" ht="24.95" customHeight="1">
      <c r="A244" s="3" t="s">
        <v>974</v>
      </c>
      <c r="B244" s="21">
        <v>45055</v>
      </c>
      <c r="C244" s="3" t="s">
        <v>975</v>
      </c>
      <c r="D244" s="3" t="s">
        <v>48</v>
      </c>
      <c r="E244" s="19">
        <v>2</v>
      </c>
      <c r="F244" s="22">
        <v>219.1</v>
      </c>
      <c r="G244" s="3" t="s">
        <v>976</v>
      </c>
      <c r="H244" s="3" t="s">
        <v>27</v>
      </c>
      <c r="I244" s="3" t="s">
        <v>89</v>
      </c>
      <c r="J244" s="3" t="s">
        <v>977</v>
      </c>
      <c r="K244" s="19">
        <v>4</v>
      </c>
      <c r="L244" s="3" t="s">
        <v>21</v>
      </c>
      <c r="M244" s="3" t="s">
        <v>29</v>
      </c>
      <c r="N244" s="22">
        <v>438.2</v>
      </c>
    </row>
    <row r="245" spans="1:14" ht="24.95" customHeight="1">
      <c r="A245" s="3" t="s">
        <v>978</v>
      </c>
      <c r="B245" s="21">
        <v>45786</v>
      </c>
      <c r="C245" s="3" t="s">
        <v>979</v>
      </c>
      <c r="D245" s="3" t="s">
        <v>41</v>
      </c>
      <c r="E245" s="19">
        <v>2</v>
      </c>
      <c r="F245" s="22">
        <v>144.66</v>
      </c>
      <c r="G245" s="3" t="s">
        <v>980</v>
      </c>
      <c r="H245" s="3" t="s">
        <v>27</v>
      </c>
      <c r="I245" s="3" t="s">
        <v>35</v>
      </c>
      <c r="J245" s="3" t="s">
        <v>981</v>
      </c>
      <c r="K245" s="19">
        <v>7</v>
      </c>
      <c r="L245" s="3" t="s">
        <v>37</v>
      </c>
      <c r="M245" s="3" t="s">
        <v>76</v>
      </c>
      <c r="N245" s="22">
        <v>289.32</v>
      </c>
    </row>
    <row r="246" spans="1:14" ht="24.95" customHeight="1">
      <c r="A246" s="3" t="s">
        <v>982</v>
      </c>
      <c r="B246" s="21">
        <v>44973</v>
      </c>
      <c r="C246" s="3" t="s">
        <v>983</v>
      </c>
      <c r="D246" s="3" t="s">
        <v>73</v>
      </c>
      <c r="E246" s="19">
        <v>2</v>
      </c>
      <c r="F246" s="22">
        <v>317.77</v>
      </c>
      <c r="G246" s="3" t="s">
        <v>984</v>
      </c>
      <c r="H246" s="3" t="s">
        <v>18</v>
      </c>
      <c r="I246" s="3" t="s">
        <v>35</v>
      </c>
      <c r="J246" s="3" t="s">
        <v>985</v>
      </c>
      <c r="K246" s="19">
        <v>4</v>
      </c>
      <c r="L246" s="3" t="s">
        <v>81</v>
      </c>
      <c r="M246" s="3" t="s">
        <v>45</v>
      </c>
      <c r="N246" s="22">
        <v>635.54</v>
      </c>
    </row>
    <row r="247" spans="1:14" ht="24.95" customHeight="1">
      <c r="A247" s="3" t="s">
        <v>986</v>
      </c>
      <c r="B247" s="21">
        <v>45767</v>
      </c>
      <c r="C247" s="3" t="s">
        <v>987</v>
      </c>
      <c r="D247" s="3" t="s">
        <v>58</v>
      </c>
      <c r="E247" s="19">
        <v>1</v>
      </c>
      <c r="F247" s="22">
        <v>223.3</v>
      </c>
      <c r="G247" s="3" t="s">
        <v>988</v>
      </c>
      <c r="H247" s="3" t="s">
        <v>27</v>
      </c>
      <c r="I247" s="3" t="s">
        <v>43</v>
      </c>
      <c r="J247" s="3" t="s">
        <v>989</v>
      </c>
      <c r="K247" s="19">
        <v>1</v>
      </c>
      <c r="L247" s="3" t="s">
        <v>1192</v>
      </c>
      <c r="M247" s="3" t="s">
        <v>45</v>
      </c>
      <c r="N247" s="22">
        <v>223.3</v>
      </c>
    </row>
    <row r="248" spans="1:14" ht="24.95" customHeight="1">
      <c r="A248" s="3" t="s">
        <v>990</v>
      </c>
      <c r="B248" s="21">
        <v>45534</v>
      </c>
      <c r="C248" s="3" t="s">
        <v>991</v>
      </c>
      <c r="D248" s="3" t="s">
        <v>73</v>
      </c>
      <c r="E248" s="19">
        <v>2</v>
      </c>
      <c r="F248" s="22">
        <v>342.11</v>
      </c>
      <c r="G248" s="3" t="s">
        <v>992</v>
      </c>
      <c r="H248" s="3" t="s">
        <v>60</v>
      </c>
      <c r="I248" s="3" t="s">
        <v>19</v>
      </c>
      <c r="J248" s="3" t="s">
        <v>993</v>
      </c>
      <c r="K248" s="19">
        <v>2</v>
      </c>
      <c r="L248" s="3" t="s">
        <v>81</v>
      </c>
      <c r="M248" s="3" t="s">
        <v>22</v>
      </c>
      <c r="N248" s="22">
        <v>684.22</v>
      </c>
    </row>
    <row r="249" spans="1:14" ht="24.95" customHeight="1">
      <c r="A249" s="3" t="s">
        <v>994</v>
      </c>
      <c r="B249" s="21">
        <v>45127</v>
      </c>
      <c r="C249" s="3" t="s">
        <v>995</v>
      </c>
      <c r="D249" s="3" t="s">
        <v>48</v>
      </c>
      <c r="E249" s="19">
        <v>2</v>
      </c>
      <c r="F249" s="22">
        <v>220.9</v>
      </c>
      <c r="G249" s="3" t="s">
        <v>996</v>
      </c>
      <c r="H249" s="3" t="s">
        <v>60</v>
      </c>
      <c r="I249" s="3" t="s">
        <v>19</v>
      </c>
      <c r="J249" s="3" t="s">
        <v>997</v>
      </c>
      <c r="K249" s="19">
        <v>4</v>
      </c>
      <c r="L249" s="3" t="s">
        <v>1192</v>
      </c>
      <c r="M249" s="3" t="s">
        <v>38</v>
      </c>
      <c r="N249" s="22">
        <v>441.8</v>
      </c>
    </row>
    <row r="250" spans="1:14" ht="24.95" customHeight="1">
      <c r="A250" s="3" t="s">
        <v>998</v>
      </c>
      <c r="B250" s="21">
        <v>45109</v>
      </c>
      <c r="C250" s="3" t="s">
        <v>999</v>
      </c>
      <c r="D250" s="3" t="s">
        <v>58</v>
      </c>
      <c r="E250" s="19">
        <v>1</v>
      </c>
      <c r="F250" s="22">
        <v>670.54</v>
      </c>
      <c r="G250" s="3" t="s">
        <v>1000</v>
      </c>
      <c r="H250" s="3" t="s">
        <v>65</v>
      </c>
      <c r="I250" s="3" t="s">
        <v>19</v>
      </c>
      <c r="J250" s="3" t="s">
        <v>1001</v>
      </c>
      <c r="K250" s="19">
        <v>6</v>
      </c>
      <c r="L250" s="3" t="s">
        <v>37</v>
      </c>
      <c r="M250" s="3" t="s">
        <v>29</v>
      </c>
      <c r="N250" s="22">
        <v>670.54</v>
      </c>
    </row>
    <row r="251" spans="1:14" ht="24.95" customHeight="1">
      <c r="A251" s="3" t="s">
        <v>1002</v>
      </c>
      <c r="B251" s="21">
        <v>45329</v>
      </c>
      <c r="C251" s="3" t="s">
        <v>1003</v>
      </c>
      <c r="D251" s="3" t="s">
        <v>48</v>
      </c>
      <c r="E251" s="19">
        <v>1</v>
      </c>
      <c r="F251" s="22">
        <v>546.19000000000005</v>
      </c>
      <c r="G251" s="3" t="s">
        <v>1004</v>
      </c>
      <c r="H251" s="3" t="s">
        <v>65</v>
      </c>
      <c r="I251" s="3" t="s">
        <v>89</v>
      </c>
      <c r="J251" s="3" t="s">
        <v>1005</v>
      </c>
      <c r="K251" s="19">
        <v>5</v>
      </c>
      <c r="L251" s="3" t="s">
        <v>37</v>
      </c>
      <c r="M251" s="3" t="s">
        <v>29</v>
      </c>
      <c r="N251" s="22">
        <v>546.19000000000005</v>
      </c>
    </row>
    <row r="252" spans="1:14" ht="24.95" customHeight="1">
      <c r="A252" s="3" t="s">
        <v>1006</v>
      </c>
      <c r="B252" s="21">
        <v>45021</v>
      </c>
      <c r="C252" s="3" t="s">
        <v>1007</v>
      </c>
      <c r="D252" s="3" t="s">
        <v>73</v>
      </c>
      <c r="E252" s="19">
        <v>3</v>
      </c>
      <c r="F252" s="22">
        <v>42.95</v>
      </c>
      <c r="G252" s="3" t="s">
        <v>387</v>
      </c>
      <c r="H252" s="3" t="s">
        <v>60</v>
      </c>
      <c r="I252" s="3" t="s">
        <v>43</v>
      </c>
      <c r="J252" s="3" t="s">
        <v>1008</v>
      </c>
      <c r="K252" s="19">
        <v>8</v>
      </c>
      <c r="L252" s="3" t="s">
        <v>21</v>
      </c>
      <c r="M252" s="3" t="s">
        <v>38</v>
      </c>
      <c r="N252" s="22">
        <v>128.85</v>
      </c>
    </row>
    <row r="253" spans="1:14" ht="24.95" customHeight="1">
      <c r="A253" s="3" t="s">
        <v>1009</v>
      </c>
      <c r="B253" s="21">
        <v>45792</v>
      </c>
      <c r="C253" s="3" t="s">
        <v>1010</v>
      </c>
      <c r="D253" s="3" t="s">
        <v>16</v>
      </c>
      <c r="E253" s="19">
        <v>4</v>
      </c>
      <c r="F253" s="22">
        <v>14.69</v>
      </c>
      <c r="G253" s="3" t="s">
        <v>1011</v>
      </c>
      <c r="H253" s="3" t="s">
        <v>65</v>
      </c>
      <c r="I253" s="3" t="s">
        <v>35</v>
      </c>
      <c r="J253" s="3" t="s">
        <v>1012</v>
      </c>
      <c r="K253" s="19">
        <v>9</v>
      </c>
      <c r="L253" s="3" t="s">
        <v>1192</v>
      </c>
      <c r="M253" s="3" t="s">
        <v>38</v>
      </c>
      <c r="N253" s="22">
        <v>58.76</v>
      </c>
    </row>
    <row r="254" spans="1:14" ht="24.95" customHeight="1">
      <c r="A254" s="3" t="s">
        <v>1013</v>
      </c>
      <c r="B254" s="21">
        <v>45555</v>
      </c>
      <c r="C254" s="3" t="s">
        <v>1014</v>
      </c>
      <c r="D254" s="3" t="s">
        <v>25</v>
      </c>
      <c r="E254" s="19">
        <v>4</v>
      </c>
      <c r="F254" s="22">
        <v>668.36</v>
      </c>
      <c r="G254" s="3" t="s">
        <v>1015</v>
      </c>
      <c r="H254" s="3" t="s">
        <v>60</v>
      </c>
      <c r="I254" s="3" t="s">
        <v>35</v>
      </c>
      <c r="J254" s="3" t="s">
        <v>1016</v>
      </c>
      <c r="K254" s="19">
        <v>5</v>
      </c>
      <c r="L254" s="3" t="s">
        <v>37</v>
      </c>
      <c r="M254" s="3" t="s">
        <v>45</v>
      </c>
      <c r="N254" s="22">
        <v>2673.44</v>
      </c>
    </row>
    <row r="255" spans="1:14" ht="24.95" customHeight="1">
      <c r="A255" s="3" t="s">
        <v>1017</v>
      </c>
      <c r="B255" s="21">
        <v>45374</v>
      </c>
      <c r="C255" s="3" t="s">
        <v>1018</v>
      </c>
      <c r="D255" s="3" t="s">
        <v>41</v>
      </c>
      <c r="E255" s="19">
        <v>4</v>
      </c>
      <c r="F255" s="22">
        <v>413.74</v>
      </c>
      <c r="G255" s="3" t="s">
        <v>434</v>
      </c>
      <c r="H255" s="3" t="s">
        <v>60</v>
      </c>
      <c r="I255" s="3" t="s">
        <v>43</v>
      </c>
      <c r="J255" s="3" t="s">
        <v>1019</v>
      </c>
      <c r="K255" s="19">
        <v>7</v>
      </c>
      <c r="L255" s="3" t="s">
        <v>37</v>
      </c>
      <c r="M255" s="3" t="s">
        <v>22</v>
      </c>
      <c r="N255" s="22">
        <v>1654.96</v>
      </c>
    </row>
    <row r="256" spans="1:14" ht="24.95" customHeight="1">
      <c r="A256" s="3" t="s">
        <v>1020</v>
      </c>
      <c r="B256" s="21">
        <v>45286</v>
      </c>
      <c r="C256" s="3" t="s">
        <v>1021</v>
      </c>
      <c r="D256" s="3" t="s">
        <v>16</v>
      </c>
      <c r="E256" s="19">
        <v>3</v>
      </c>
      <c r="F256" s="22">
        <v>263.19</v>
      </c>
      <c r="G256" s="3" t="s">
        <v>960</v>
      </c>
      <c r="H256" s="3" t="s">
        <v>27</v>
      </c>
      <c r="I256" s="3" t="s">
        <v>50</v>
      </c>
      <c r="J256" s="3" t="s">
        <v>1022</v>
      </c>
      <c r="K256" s="19">
        <v>5</v>
      </c>
      <c r="L256" s="3" t="s">
        <v>1192</v>
      </c>
      <c r="M256" s="3" t="s">
        <v>22</v>
      </c>
      <c r="N256" s="22">
        <v>789.56999999999994</v>
      </c>
    </row>
    <row r="257" spans="1:14" ht="24.95" customHeight="1">
      <c r="A257" s="3" t="s">
        <v>1023</v>
      </c>
      <c r="B257" s="21">
        <v>45425</v>
      </c>
      <c r="C257" s="3" t="s">
        <v>1024</v>
      </c>
      <c r="D257" s="3" t="s">
        <v>16</v>
      </c>
      <c r="E257" s="19">
        <v>1</v>
      </c>
      <c r="F257" s="22">
        <v>263.95999999999998</v>
      </c>
      <c r="G257" s="3" t="s">
        <v>715</v>
      </c>
      <c r="H257" s="3" t="s">
        <v>60</v>
      </c>
      <c r="I257" s="3" t="s">
        <v>43</v>
      </c>
      <c r="J257" s="3" t="s">
        <v>1025</v>
      </c>
      <c r="K257" s="19">
        <v>2</v>
      </c>
      <c r="L257" s="3" t="s">
        <v>21</v>
      </c>
      <c r="M257" s="3" t="s">
        <v>76</v>
      </c>
      <c r="N257" s="22">
        <v>263.95999999999998</v>
      </c>
    </row>
    <row r="258" spans="1:14" ht="24.95" customHeight="1">
      <c r="A258" s="3" t="s">
        <v>1026</v>
      </c>
      <c r="B258" s="21">
        <v>45838</v>
      </c>
      <c r="C258" s="3" t="s">
        <v>1027</v>
      </c>
      <c r="D258" s="3" t="s">
        <v>41</v>
      </c>
      <c r="E258" s="19">
        <v>5</v>
      </c>
      <c r="F258" s="22">
        <v>75.81</v>
      </c>
      <c r="G258" s="3" t="s">
        <v>1028</v>
      </c>
      <c r="H258" s="3" t="s">
        <v>60</v>
      </c>
      <c r="I258" s="3" t="s">
        <v>43</v>
      </c>
      <c r="J258" s="3" t="s">
        <v>1029</v>
      </c>
      <c r="K258" s="19">
        <v>10</v>
      </c>
      <c r="L258" s="3" t="s">
        <v>81</v>
      </c>
      <c r="M258" s="3" t="s">
        <v>22</v>
      </c>
      <c r="N258" s="22">
        <v>379.05</v>
      </c>
    </row>
    <row r="259" spans="1:14" ht="24.95" customHeight="1">
      <c r="A259" s="3" t="s">
        <v>1030</v>
      </c>
      <c r="B259" s="21">
        <v>45405</v>
      </c>
      <c r="C259" s="3" t="s">
        <v>1031</v>
      </c>
      <c r="D259" s="3" t="s">
        <v>25</v>
      </c>
      <c r="E259" s="19">
        <v>1</v>
      </c>
      <c r="F259" s="22">
        <v>406.22</v>
      </c>
      <c r="G259" s="3" t="s">
        <v>1032</v>
      </c>
      <c r="H259" s="3" t="s">
        <v>34</v>
      </c>
      <c r="I259" s="3" t="s">
        <v>35</v>
      </c>
      <c r="J259" s="3" t="s">
        <v>1033</v>
      </c>
      <c r="K259" s="19">
        <v>5</v>
      </c>
      <c r="L259" s="3" t="s">
        <v>21</v>
      </c>
      <c r="M259" s="3" t="s">
        <v>29</v>
      </c>
      <c r="N259" s="22">
        <v>406.22</v>
      </c>
    </row>
    <row r="260" spans="1:14" ht="24.95" customHeight="1">
      <c r="A260" s="3" t="s">
        <v>1034</v>
      </c>
      <c r="B260" s="21">
        <v>45348</v>
      </c>
      <c r="C260" s="3" t="s">
        <v>1035</v>
      </c>
      <c r="D260" s="3" t="s">
        <v>32</v>
      </c>
      <c r="E260" s="19">
        <v>2</v>
      </c>
      <c r="F260" s="22">
        <v>103.41</v>
      </c>
      <c r="G260" s="3" t="s">
        <v>1036</v>
      </c>
      <c r="H260" s="3" t="s">
        <v>27</v>
      </c>
      <c r="I260" s="3" t="s">
        <v>19</v>
      </c>
      <c r="J260" s="3" t="s">
        <v>1037</v>
      </c>
      <c r="K260" s="19">
        <v>2</v>
      </c>
      <c r="L260" s="3" t="s">
        <v>37</v>
      </c>
      <c r="M260" s="3" t="s">
        <v>29</v>
      </c>
      <c r="N260" s="22">
        <v>206.82</v>
      </c>
    </row>
    <row r="261" spans="1:14" ht="24.95" customHeight="1">
      <c r="A261" s="3" t="s">
        <v>1038</v>
      </c>
      <c r="B261" s="21">
        <v>45088</v>
      </c>
      <c r="C261" s="3" t="s">
        <v>1039</v>
      </c>
      <c r="D261" s="3" t="s">
        <v>41</v>
      </c>
      <c r="E261" s="19">
        <v>4</v>
      </c>
      <c r="F261" s="22">
        <v>435.12</v>
      </c>
      <c r="G261" s="3" t="s">
        <v>565</v>
      </c>
      <c r="H261" s="3" t="s">
        <v>34</v>
      </c>
      <c r="I261" s="3" t="s">
        <v>50</v>
      </c>
      <c r="J261" s="3" t="s">
        <v>1040</v>
      </c>
      <c r="K261" s="19">
        <v>9</v>
      </c>
      <c r="L261" s="3" t="s">
        <v>21</v>
      </c>
      <c r="M261" s="3" t="s">
        <v>22</v>
      </c>
      <c r="N261" s="22">
        <v>1740.48</v>
      </c>
    </row>
    <row r="262" spans="1:14" ht="24.95" customHeight="1">
      <c r="A262" s="3" t="s">
        <v>1041</v>
      </c>
      <c r="B262" s="21">
        <v>45063</v>
      </c>
      <c r="C262" s="3" t="s">
        <v>1042</v>
      </c>
      <c r="D262" s="3" t="s">
        <v>16</v>
      </c>
      <c r="E262" s="19">
        <v>2</v>
      </c>
      <c r="F262" s="22">
        <v>407.79</v>
      </c>
      <c r="G262" s="3" t="s">
        <v>1043</v>
      </c>
      <c r="H262" s="3" t="s">
        <v>18</v>
      </c>
      <c r="I262" s="3" t="s">
        <v>19</v>
      </c>
      <c r="J262" s="3" t="s">
        <v>1044</v>
      </c>
      <c r="K262" s="19">
        <v>3</v>
      </c>
      <c r="L262" s="3" t="s">
        <v>1192</v>
      </c>
      <c r="M262" s="3" t="s">
        <v>76</v>
      </c>
      <c r="N262" s="22">
        <v>815.58</v>
      </c>
    </row>
    <row r="263" spans="1:14" ht="24.95" customHeight="1">
      <c r="A263" s="3" t="s">
        <v>1045</v>
      </c>
      <c r="B263" s="21">
        <v>45805</v>
      </c>
      <c r="C263" s="3" t="s">
        <v>1046</v>
      </c>
      <c r="D263" s="3" t="s">
        <v>25</v>
      </c>
      <c r="E263" s="19">
        <v>5</v>
      </c>
      <c r="F263" s="22">
        <v>173.65</v>
      </c>
      <c r="G263" s="3" t="s">
        <v>1047</v>
      </c>
      <c r="H263" s="3" t="s">
        <v>60</v>
      </c>
      <c r="I263" s="3" t="s">
        <v>50</v>
      </c>
      <c r="J263" s="3" t="s">
        <v>1048</v>
      </c>
      <c r="K263" s="19">
        <v>9</v>
      </c>
      <c r="L263" s="3" t="s">
        <v>21</v>
      </c>
      <c r="M263" s="3" t="s">
        <v>38</v>
      </c>
      <c r="N263" s="22">
        <v>868.25</v>
      </c>
    </row>
    <row r="264" spans="1:14" ht="24.95" customHeight="1">
      <c r="A264" s="3" t="s">
        <v>1049</v>
      </c>
      <c r="B264" s="21">
        <v>44936</v>
      </c>
      <c r="C264" s="3" t="s">
        <v>1050</v>
      </c>
      <c r="D264" s="3" t="s">
        <v>25</v>
      </c>
      <c r="E264" s="19">
        <v>4</v>
      </c>
      <c r="F264" s="22">
        <v>249.07</v>
      </c>
      <c r="G264" s="3" t="s">
        <v>572</v>
      </c>
      <c r="H264" s="3" t="s">
        <v>34</v>
      </c>
      <c r="I264" s="3" t="s">
        <v>43</v>
      </c>
      <c r="J264" s="3" t="s">
        <v>1051</v>
      </c>
      <c r="K264" s="19">
        <v>5</v>
      </c>
      <c r="L264" s="3" t="s">
        <v>81</v>
      </c>
      <c r="M264" s="3" t="s">
        <v>29</v>
      </c>
      <c r="N264" s="22">
        <v>996.28</v>
      </c>
    </row>
    <row r="265" spans="1:14" ht="24.95" customHeight="1">
      <c r="A265" s="3" t="s">
        <v>1052</v>
      </c>
      <c r="B265" s="21">
        <v>45010</v>
      </c>
      <c r="C265" s="3" t="s">
        <v>1053</v>
      </c>
      <c r="D265" s="3" t="s">
        <v>25</v>
      </c>
      <c r="E265" s="19">
        <v>4</v>
      </c>
      <c r="F265" s="22">
        <v>434.85</v>
      </c>
      <c r="G265" s="3" t="s">
        <v>1054</v>
      </c>
      <c r="H265" s="3" t="s">
        <v>34</v>
      </c>
      <c r="I265" s="3" t="s">
        <v>89</v>
      </c>
      <c r="J265" s="3" t="s">
        <v>1055</v>
      </c>
      <c r="K265" s="19">
        <v>4</v>
      </c>
      <c r="L265" s="3" t="s">
        <v>81</v>
      </c>
      <c r="M265" s="3" t="s">
        <v>76</v>
      </c>
      <c r="N265" s="22">
        <v>1739.4</v>
      </c>
    </row>
    <row r="266" spans="1:14" ht="24.95" customHeight="1">
      <c r="A266" s="3" t="s">
        <v>1056</v>
      </c>
      <c r="B266" s="21">
        <v>45507</v>
      </c>
      <c r="C266" s="3" t="s">
        <v>1057</v>
      </c>
      <c r="D266" s="3" t="s">
        <v>32</v>
      </c>
      <c r="E266" s="19">
        <v>1</v>
      </c>
      <c r="F266" s="22">
        <v>436.77</v>
      </c>
      <c r="G266" s="3" t="s">
        <v>1058</v>
      </c>
      <c r="H266" s="3" t="s">
        <v>65</v>
      </c>
      <c r="I266" s="3" t="s">
        <v>43</v>
      </c>
      <c r="J266" s="3" t="s">
        <v>1059</v>
      </c>
      <c r="K266" s="19">
        <v>5</v>
      </c>
      <c r="L266" s="3" t="s">
        <v>37</v>
      </c>
      <c r="M266" s="3" t="s">
        <v>76</v>
      </c>
      <c r="N266" s="22">
        <v>436.77</v>
      </c>
    </row>
    <row r="267" spans="1:14" ht="24.95" customHeight="1">
      <c r="A267" s="3" t="s">
        <v>1060</v>
      </c>
      <c r="B267" s="21">
        <v>45282</v>
      </c>
      <c r="C267" s="3" t="s">
        <v>1061</v>
      </c>
      <c r="D267" s="3" t="s">
        <v>48</v>
      </c>
      <c r="E267" s="19">
        <v>1</v>
      </c>
      <c r="F267" s="22">
        <v>572.13</v>
      </c>
      <c r="G267" s="3" t="s">
        <v>1062</v>
      </c>
      <c r="H267" s="3" t="s">
        <v>18</v>
      </c>
      <c r="I267" s="3" t="s">
        <v>35</v>
      </c>
      <c r="J267" s="3" t="s">
        <v>1063</v>
      </c>
      <c r="K267" s="19">
        <v>4</v>
      </c>
      <c r="L267" s="3" t="s">
        <v>21</v>
      </c>
      <c r="M267" s="3" t="s">
        <v>76</v>
      </c>
      <c r="N267" s="22">
        <v>572.13</v>
      </c>
    </row>
    <row r="268" spans="1:14" ht="24.95" customHeight="1">
      <c r="A268" s="3" t="s">
        <v>1064</v>
      </c>
      <c r="B268" s="21">
        <v>45451</v>
      </c>
      <c r="C268" s="3" t="s">
        <v>1065</v>
      </c>
      <c r="D268" s="3" t="s">
        <v>41</v>
      </c>
      <c r="E268" s="19">
        <v>4</v>
      </c>
      <c r="F268" s="22">
        <v>583.07000000000005</v>
      </c>
      <c r="G268" s="3" t="s">
        <v>1066</v>
      </c>
      <c r="H268" s="3" t="s">
        <v>34</v>
      </c>
      <c r="I268" s="3" t="s">
        <v>35</v>
      </c>
      <c r="J268" s="3" t="s">
        <v>1067</v>
      </c>
      <c r="K268" s="19">
        <v>6</v>
      </c>
      <c r="L268" s="3" t="s">
        <v>37</v>
      </c>
      <c r="M268" s="3" t="s">
        <v>29</v>
      </c>
      <c r="N268" s="22">
        <v>2332.2800000000002</v>
      </c>
    </row>
    <row r="269" spans="1:14" ht="24.95" customHeight="1">
      <c r="A269" s="3" t="s">
        <v>1068</v>
      </c>
      <c r="B269" s="21">
        <v>45764</v>
      </c>
      <c r="C269" s="3" t="s">
        <v>1069</v>
      </c>
      <c r="D269" s="3" t="s">
        <v>41</v>
      </c>
      <c r="E269" s="19">
        <v>5</v>
      </c>
      <c r="F269" s="22">
        <v>468.51</v>
      </c>
      <c r="G269" s="3" t="s">
        <v>1070</v>
      </c>
      <c r="H269" s="3" t="s">
        <v>18</v>
      </c>
      <c r="I269" s="3" t="s">
        <v>50</v>
      </c>
      <c r="J269" s="3" t="s">
        <v>1071</v>
      </c>
      <c r="K269" s="19">
        <v>9</v>
      </c>
      <c r="L269" s="3" t="s">
        <v>1192</v>
      </c>
      <c r="M269" s="3" t="s">
        <v>45</v>
      </c>
      <c r="N269" s="22">
        <v>2342.5500000000002</v>
      </c>
    </row>
    <row r="270" spans="1:14" ht="24.95" customHeight="1">
      <c r="A270" s="3" t="s">
        <v>1072</v>
      </c>
      <c r="B270" s="21">
        <v>45149</v>
      </c>
      <c r="C270" s="3" t="s">
        <v>1073</v>
      </c>
      <c r="D270" s="3" t="s">
        <v>25</v>
      </c>
      <c r="E270" s="19">
        <v>2</v>
      </c>
      <c r="F270" s="22">
        <v>423.88</v>
      </c>
      <c r="G270" s="3" t="s">
        <v>1074</v>
      </c>
      <c r="H270" s="3" t="s">
        <v>18</v>
      </c>
      <c r="I270" s="3" t="s">
        <v>50</v>
      </c>
      <c r="J270" s="3" t="s">
        <v>1075</v>
      </c>
      <c r="K270" s="19">
        <v>7</v>
      </c>
      <c r="L270" s="3" t="s">
        <v>21</v>
      </c>
      <c r="M270" s="3" t="s">
        <v>29</v>
      </c>
      <c r="N270" s="22">
        <v>847.76</v>
      </c>
    </row>
    <row r="271" spans="1:14" ht="24.95" customHeight="1">
      <c r="A271" s="3" t="s">
        <v>1076</v>
      </c>
      <c r="B271" s="21">
        <v>45255</v>
      </c>
      <c r="C271" s="3" t="s">
        <v>1077</v>
      </c>
      <c r="D271" s="3" t="s">
        <v>32</v>
      </c>
      <c r="E271" s="19">
        <v>4</v>
      </c>
      <c r="F271" s="22">
        <v>663.67</v>
      </c>
      <c r="G271" s="3" t="s">
        <v>327</v>
      </c>
      <c r="H271" s="3" t="s">
        <v>34</v>
      </c>
      <c r="I271" s="3" t="s">
        <v>89</v>
      </c>
      <c r="J271" s="3" t="s">
        <v>1078</v>
      </c>
      <c r="K271" s="19">
        <v>7</v>
      </c>
      <c r="L271" s="3" t="s">
        <v>37</v>
      </c>
      <c r="M271" s="3" t="s">
        <v>76</v>
      </c>
      <c r="N271" s="22">
        <v>2654.68</v>
      </c>
    </row>
    <row r="272" spans="1:14" ht="24.95" customHeight="1">
      <c r="A272" s="3" t="s">
        <v>1079</v>
      </c>
      <c r="B272" s="21">
        <v>45081</v>
      </c>
      <c r="C272" s="3" t="s">
        <v>1080</v>
      </c>
      <c r="D272" s="3" t="s">
        <v>48</v>
      </c>
      <c r="E272" s="19">
        <v>4</v>
      </c>
      <c r="F272" s="22">
        <v>309.91000000000003</v>
      </c>
      <c r="G272" s="3" t="s">
        <v>1081</v>
      </c>
      <c r="H272" s="3" t="s">
        <v>18</v>
      </c>
      <c r="I272" s="3" t="s">
        <v>19</v>
      </c>
      <c r="J272" s="3" t="s">
        <v>1082</v>
      </c>
      <c r="K272" s="19">
        <v>5</v>
      </c>
      <c r="L272" s="3" t="s">
        <v>81</v>
      </c>
      <c r="M272" s="3" t="s">
        <v>76</v>
      </c>
      <c r="N272" s="22">
        <v>1239.6400000000001</v>
      </c>
    </row>
    <row r="273" spans="1:14" ht="24.95" customHeight="1">
      <c r="A273" s="3" t="s">
        <v>1083</v>
      </c>
      <c r="B273" s="21">
        <v>45013</v>
      </c>
      <c r="C273" s="3" t="s">
        <v>1084</v>
      </c>
      <c r="D273" s="3" t="s">
        <v>16</v>
      </c>
      <c r="E273" s="19">
        <v>1</v>
      </c>
      <c r="F273" s="22">
        <v>542.07000000000005</v>
      </c>
      <c r="G273" s="3" t="s">
        <v>1085</v>
      </c>
      <c r="H273" s="3" t="s">
        <v>65</v>
      </c>
      <c r="I273" s="3" t="s">
        <v>19</v>
      </c>
      <c r="J273" s="3" t="s">
        <v>1086</v>
      </c>
      <c r="K273" s="19">
        <v>6</v>
      </c>
      <c r="L273" s="3" t="s">
        <v>81</v>
      </c>
      <c r="M273" s="3" t="s">
        <v>29</v>
      </c>
      <c r="N273" s="22">
        <v>542.07000000000005</v>
      </c>
    </row>
    <row r="274" spans="1:14" ht="24.95" customHeight="1">
      <c r="A274" s="3" t="s">
        <v>1087</v>
      </c>
      <c r="B274" s="21">
        <v>45188</v>
      </c>
      <c r="C274" s="3" t="s">
        <v>1088</v>
      </c>
      <c r="D274" s="3" t="s">
        <v>41</v>
      </c>
      <c r="E274" s="19">
        <v>2</v>
      </c>
      <c r="F274" s="22">
        <v>399.32</v>
      </c>
      <c r="G274" s="3" t="s">
        <v>1089</v>
      </c>
      <c r="H274" s="3" t="s">
        <v>27</v>
      </c>
      <c r="I274" s="3" t="s">
        <v>89</v>
      </c>
      <c r="J274" s="3" t="s">
        <v>1090</v>
      </c>
      <c r="K274" s="19">
        <v>6</v>
      </c>
      <c r="L274" s="3" t="s">
        <v>81</v>
      </c>
      <c r="M274" s="3" t="s">
        <v>22</v>
      </c>
      <c r="N274" s="22">
        <v>798.64</v>
      </c>
    </row>
    <row r="275" spans="1:14" ht="24.95" customHeight="1">
      <c r="A275" s="3" t="s">
        <v>1091</v>
      </c>
      <c r="B275" s="21">
        <v>45592</v>
      </c>
      <c r="C275" s="3" t="s">
        <v>1092</v>
      </c>
      <c r="D275" s="3" t="s">
        <v>32</v>
      </c>
      <c r="E275" s="19">
        <v>2</v>
      </c>
      <c r="F275" s="22">
        <v>238.25</v>
      </c>
      <c r="G275" s="3" t="s">
        <v>1093</v>
      </c>
      <c r="H275" s="3" t="s">
        <v>27</v>
      </c>
      <c r="I275" s="3" t="s">
        <v>35</v>
      </c>
      <c r="J275" s="3" t="s">
        <v>1094</v>
      </c>
      <c r="K275" s="19">
        <v>7</v>
      </c>
      <c r="L275" s="3" t="s">
        <v>37</v>
      </c>
      <c r="M275" s="3" t="s">
        <v>38</v>
      </c>
      <c r="N275" s="22">
        <v>476.5</v>
      </c>
    </row>
    <row r="276" spans="1:14" ht="24.95" customHeight="1">
      <c r="A276" s="3" t="s">
        <v>1095</v>
      </c>
      <c r="B276" s="21">
        <v>44961</v>
      </c>
      <c r="C276" s="3" t="s">
        <v>1096</v>
      </c>
      <c r="D276" s="3" t="s">
        <v>25</v>
      </c>
      <c r="E276" s="19">
        <v>2</v>
      </c>
      <c r="F276" s="22">
        <v>182.4</v>
      </c>
      <c r="G276" s="3" t="s">
        <v>1097</v>
      </c>
      <c r="H276" s="3" t="s">
        <v>60</v>
      </c>
      <c r="I276" s="3" t="s">
        <v>35</v>
      </c>
      <c r="J276" s="3" t="s">
        <v>1098</v>
      </c>
      <c r="K276" s="19">
        <v>5</v>
      </c>
      <c r="L276" s="3" t="s">
        <v>21</v>
      </c>
      <c r="M276" s="3" t="s">
        <v>29</v>
      </c>
      <c r="N276" s="22">
        <v>364.8</v>
      </c>
    </row>
    <row r="277" spans="1:14" ht="24.95" customHeight="1">
      <c r="A277" s="3" t="s">
        <v>1099</v>
      </c>
      <c r="B277" s="21">
        <v>45234</v>
      </c>
      <c r="C277" s="3" t="s">
        <v>1100</v>
      </c>
      <c r="D277" s="3" t="s">
        <v>41</v>
      </c>
      <c r="E277" s="19">
        <v>2</v>
      </c>
      <c r="F277" s="22">
        <v>65.069999999999993</v>
      </c>
      <c r="G277" s="3" t="s">
        <v>1101</v>
      </c>
      <c r="H277" s="3" t="s">
        <v>34</v>
      </c>
      <c r="I277" s="3" t="s">
        <v>35</v>
      </c>
      <c r="J277" s="3" t="s">
        <v>1102</v>
      </c>
      <c r="K277" s="19">
        <v>4</v>
      </c>
      <c r="L277" s="3" t="s">
        <v>21</v>
      </c>
      <c r="M277" s="3" t="s">
        <v>76</v>
      </c>
      <c r="N277" s="22">
        <v>130.13999999999999</v>
      </c>
    </row>
    <row r="278" spans="1:14" ht="24.95" customHeight="1">
      <c r="A278" s="3" t="s">
        <v>1103</v>
      </c>
      <c r="B278" s="21">
        <v>45745</v>
      </c>
      <c r="C278" s="3" t="s">
        <v>1104</v>
      </c>
      <c r="D278" s="3" t="s">
        <v>48</v>
      </c>
      <c r="E278" s="19">
        <v>2</v>
      </c>
      <c r="F278" s="22">
        <v>600.57000000000005</v>
      </c>
      <c r="G278" s="3" t="s">
        <v>1105</v>
      </c>
      <c r="H278" s="3" t="s">
        <v>18</v>
      </c>
      <c r="I278" s="3" t="s">
        <v>43</v>
      </c>
      <c r="J278" s="3" t="s">
        <v>1106</v>
      </c>
      <c r="K278" s="19">
        <v>3</v>
      </c>
      <c r="L278" s="3" t="s">
        <v>81</v>
      </c>
      <c r="M278" s="3" t="s">
        <v>22</v>
      </c>
      <c r="N278" s="22">
        <v>1201.1400000000001</v>
      </c>
    </row>
    <row r="279" spans="1:14" ht="24.95" customHeight="1">
      <c r="A279" s="3" t="s">
        <v>1107</v>
      </c>
      <c r="B279" s="21">
        <v>45544</v>
      </c>
      <c r="C279" s="3" t="s">
        <v>1108</v>
      </c>
      <c r="D279" s="3" t="s">
        <v>41</v>
      </c>
      <c r="E279" s="19">
        <v>5</v>
      </c>
      <c r="F279" s="22">
        <v>90.92</v>
      </c>
      <c r="G279" s="3" t="s">
        <v>1109</v>
      </c>
      <c r="H279" s="3" t="s">
        <v>34</v>
      </c>
      <c r="I279" s="3" t="s">
        <v>50</v>
      </c>
      <c r="J279" s="3" t="s">
        <v>1110</v>
      </c>
      <c r="K279" s="19">
        <v>9</v>
      </c>
      <c r="L279" s="3" t="s">
        <v>21</v>
      </c>
      <c r="M279" s="3" t="s">
        <v>45</v>
      </c>
      <c r="N279" s="22">
        <v>454.6</v>
      </c>
    </row>
    <row r="280" spans="1:14" ht="24.95" customHeight="1">
      <c r="A280" s="3" t="s">
        <v>1111</v>
      </c>
      <c r="B280" s="21">
        <v>45614</v>
      </c>
      <c r="C280" s="3" t="s">
        <v>1112</v>
      </c>
      <c r="D280" s="3" t="s">
        <v>58</v>
      </c>
      <c r="E280" s="19">
        <v>5</v>
      </c>
      <c r="F280" s="22">
        <v>362.46</v>
      </c>
      <c r="G280" s="3" t="s">
        <v>1113</v>
      </c>
      <c r="H280" s="3" t="s">
        <v>65</v>
      </c>
      <c r="I280" s="3" t="s">
        <v>50</v>
      </c>
      <c r="J280" s="3" t="s">
        <v>1114</v>
      </c>
      <c r="K280" s="19">
        <v>6</v>
      </c>
      <c r="L280" s="3" t="s">
        <v>37</v>
      </c>
      <c r="M280" s="3" t="s">
        <v>22</v>
      </c>
      <c r="N280" s="22">
        <v>1812.3</v>
      </c>
    </row>
    <row r="281" spans="1:14" ht="24.95" customHeight="1">
      <c r="A281" s="3" t="s">
        <v>1115</v>
      </c>
      <c r="B281" s="21">
        <v>45219</v>
      </c>
      <c r="C281" s="3" t="s">
        <v>1116</v>
      </c>
      <c r="D281" s="3" t="s">
        <v>41</v>
      </c>
      <c r="E281" s="19">
        <v>3</v>
      </c>
      <c r="F281" s="22">
        <v>55.01</v>
      </c>
      <c r="G281" s="3" t="s">
        <v>1117</v>
      </c>
      <c r="H281" s="3" t="s">
        <v>27</v>
      </c>
      <c r="I281" s="3" t="s">
        <v>89</v>
      </c>
      <c r="J281" s="3" t="s">
        <v>1118</v>
      </c>
      <c r="K281" s="19">
        <v>7</v>
      </c>
      <c r="L281" s="3" t="s">
        <v>81</v>
      </c>
      <c r="M281" s="3" t="s">
        <v>38</v>
      </c>
      <c r="N281" s="22">
        <v>165.03</v>
      </c>
    </row>
    <row r="282" spans="1:14" ht="24.95" customHeight="1">
      <c r="A282" s="3" t="s">
        <v>1119</v>
      </c>
      <c r="B282" s="21">
        <v>45012</v>
      </c>
      <c r="C282" s="3" t="s">
        <v>1120</v>
      </c>
      <c r="D282" s="3" t="s">
        <v>32</v>
      </c>
      <c r="E282" s="19">
        <v>3</v>
      </c>
      <c r="F282" s="22">
        <v>404.62</v>
      </c>
      <c r="G282" s="3" t="s">
        <v>1121</v>
      </c>
      <c r="H282" s="3" t="s">
        <v>60</v>
      </c>
      <c r="I282" s="3" t="s">
        <v>50</v>
      </c>
      <c r="J282" s="3" t="s">
        <v>1122</v>
      </c>
      <c r="K282" s="19">
        <v>6</v>
      </c>
      <c r="L282" s="3" t="s">
        <v>37</v>
      </c>
      <c r="M282" s="3" t="s">
        <v>22</v>
      </c>
      <c r="N282" s="22">
        <v>1213.8599999999999</v>
      </c>
    </row>
    <row r="283" spans="1:14" ht="24.95" customHeight="1">
      <c r="A283" s="3" t="s">
        <v>1123</v>
      </c>
      <c r="B283" s="21">
        <v>45134</v>
      </c>
      <c r="C283" s="3" t="s">
        <v>1124</v>
      </c>
      <c r="D283" s="3" t="s">
        <v>73</v>
      </c>
      <c r="E283" s="19">
        <v>4</v>
      </c>
      <c r="F283" s="22">
        <v>654.79</v>
      </c>
      <c r="G283" s="3" t="s">
        <v>1125</v>
      </c>
      <c r="H283" s="3" t="s">
        <v>65</v>
      </c>
      <c r="I283" s="3" t="s">
        <v>89</v>
      </c>
      <c r="J283" s="3" t="s">
        <v>1126</v>
      </c>
      <c r="K283" s="19">
        <v>9</v>
      </c>
      <c r="L283" s="3" t="s">
        <v>1192</v>
      </c>
      <c r="M283" s="3" t="s">
        <v>29</v>
      </c>
      <c r="N283" s="22">
        <v>2619.16</v>
      </c>
    </row>
    <row r="284" spans="1:14" ht="24.95" customHeight="1">
      <c r="A284" s="3" t="s">
        <v>1127</v>
      </c>
      <c r="B284" s="21">
        <v>45769</v>
      </c>
      <c r="C284" s="3" t="s">
        <v>1128</v>
      </c>
      <c r="D284" s="3" t="s">
        <v>48</v>
      </c>
      <c r="E284" s="19">
        <v>4</v>
      </c>
      <c r="F284" s="22">
        <v>637.79</v>
      </c>
      <c r="G284" s="3" t="s">
        <v>1129</v>
      </c>
      <c r="H284" s="3" t="s">
        <v>60</v>
      </c>
      <c r="I284" s="3" t="s">
        <v>35</v>
      </c>
      <c r="J284" s="3" t="s">
        <v>1130</v>
      </c>
      <c r="K284" s="19">
        <v>9</v>
      </c>
      <c r="L284" s="3" t="s">
        <v>37</v>
      </c>
      <c r="M284" s="3" t="s">
        <v>76</v>
      </c>
      <c r="N284" s="22">
        <v>2551.16</v>
      </c>
    </row>
    <row r="285" spans="1:14" ht="24.95" customHeight="1">
      <c r="A285" s="3" t="s">
        <v>1131</v>
      </c>
      <c r="B285" s="21">
        <v>45716</v>
      </c>
      <c r="C285" s="3" t="s">
        <v>1132</v>
      </c>
      <c r="D285" s="3" t="s">
        <v>58</v>
      </c>
      <c r="E285" s="19">
        <v>4</v>
      </c>
      <c r="F285" s="22">
        <v>540.33000000000004</v>
      </c>
      <c r="G285" s="3" t="s">
        <v>1133</v>
      </c>
      <c r="H285" s="3" t="s">
        <v>65</v>
      </c>
      <c r="I285" s="3" t="s">
        <v>19</v>
      </c>
      <c r="J285" s="3" t="s">
        <v>1134</v>
      </c>
      <c r="K285" s="19">
        <v>6</v>
      </c>
      <c r="L285" s="3" t="s">
        <v>1192</v>
      </c>
      <c r="M285" s="3" t="s">
        <v>76</v>
      </c>
      <c r="N285" s="22">
        <v>2161.3200000000002</v>
      </c>
    </row>
    <row r="286" spans="1:14" ht="24.95" customHeight="1">
      <c r="A286" s="3" t="s">
        <v>1135</v>
      </c>
      <c r="B286" s="21">
        <v>44973</v>
      </c>
      <c r="C286" s="3" t="s">
        <v>1136</v>
      </c>
      <c r="D286" s="3" t="s">
        <v>58</v>
      </c>
      <c r="E286" s="19">
        <v>5</v>
      </c>
      <c r="F286" s="22">
        <v>208.17</v>
      </c>
      <c r="G286" s="3" t="s">
        <v>1137</v>
      </c>
      <c r="H286" s="3" t="s">
        <v>34</v>
      </c>
      <c r="I286" s="3" t="s">
        <v>43</v>
      </c>
      <c r="J286" s="3" t="s">
        <v>1138</v>
      </c>
      <c r="K286" s="19">
        <v>6</v>
      </c>
      <c r="L286" s="3" t="s">
        <v>21</v>
      </c>
      <c r="M286" s="3" t="s">
        <v>45</v>
      </c>
      <c r="N286" s="22">
        <v>1040.8499999999999</v>
      </c>
    </row>
    <row r="287" spans="1:14" ht="24.95" customHeight="1">
      <c r="A287" s="3" t="s">
        <v>1139</v>
      </c>
      <c r="B287" s="21">
        <v>45818</v>
      </c>
      <c r="C287" s="3" t="s">
        <v>1140</v>
      </c>
      <c r="D287" s="3" t="s">
        <v>25</v>
      </c>
      <c r="E287" s="19">
        <v>1</v>
      </c>
      <c r="F287" s="22">
        <v>338.31</v>
      </c>
      <c r="G287" s="3" t="s">
        <v>1093</v>
      </c>
      <c r="H287" s="3" t="s">
        <v>27</v>
      </c>
      <c r="I287" s="3" t="s">
        <v>50</v>
      </c>
      <c r="J287" s="3" t="s">
        <v>1141</v>
      </c>
      <c r="K287" s="19">
        <v>3</v>
      </c>
      <c r="L287" s="3" t="s">
        <v>1192</v>
      </c>
      <c r="M287" s="3" t="s">
        <v>76</v>
      </c>
      <c r="N287" s="22">
        <v>338.31</v>
      </c>
    </row>
    <row r="288" spans="1:14" ht="24.95" customHeight="1">
      <c r="A288" s="3" t="s">
        <v>1142</v>
      </c>
      <c r="B288" s="21">
        <v>45754</v>
      </c>
      <c r="C288" s="3" t="s">
        <v>1143</v>
      </c>
      <c r="D288" s="3" t="s">
        <v>16</v>
      </c>
      <c r="E288" s="19">
        <v>3</v>
      </c>
      <c r="F288" s="22">
        <v>139.44999999999999</v>
      </c>
      <c r="G288" s="3" t="s">
        <v>510</v>
      </c>
      <c r="H288" s="3" t="s">
        <v>60</v>
      </c>
      <c r="I288" s="3" t="s">
        <v>43</v>
      </c>
      <c r="J288" s="3" t="s">
        <v>1144</v>
      </c>
      <c r="K288" s="19">
        <v>8</v>
      </c>
      <c r="L288" s="3" t="s">
        <v>81</v>
      </c>
      <c r="M288" s="3" t="s">
        <v>76</v>
      </c>
      <c r="N288" s="22">
        <v>418.35</v>
      </c>
    </row>
    <row r="289" spans="1:14" ht="24.95" customHeight="1">
      <c r="A289" s="3" t="s">
        <v>1145</v>
      </c>
      <c r="B289" s="21">
        <v>45254</v>
      </c>
      <c r="C289" s="3" t="s">
        <v>1146</v>
      </c>
      <c r="D289" s="3" t="s">
        <v>41</v>
      </c>
      <c r="E289" s="19">
        <v>4</v>
      </c>
      <c r="F289" s="22">
        <v>655.17999999999995</v>
      </c>
      <c r="G289" s="3" t="s">
        <v>1147</v>
      </c>
      <c r="H289" s="3" t="s">
        <v>27</v>
      </c>
      <c r="I289" s="3" t="s">
        <v>19</v>
      </c>
      <c r="J289" s="3" t="s">
        <v>1148</v>
      </c>
      <c r="K289" s="19">
        <v>5</v>
      </c>
      <c r="L289" s="3" t="s">
        <v>1192</v>
      </c>
      <c r="M289" s="3" t="s">
        <v>45</v>
      </c>
      <c r="N289" s="22">
        <v>2620.7199999999998</v>
      </c>
    </row>
    <row r="290" spans="1:14" ht="24.95" customHeight="1">
      <c r="A290" s="3" t="s">
        <v>1149</v>
      </c>
      <c r="B290" s="21">
        <v>44997</v>
      </c>
      <c r="C290" s="3" t="s">
        <v>1150</v>
      </c>
      <c r="D290" s="3" t="s">
        <v>58</v>
      </c>
      <c r="E290" s="19">
        <v>4</v>
      </c>
      <c r="F290" s="22">
        <v>512.75</v>
      </c>
      <c r="G290" s="3" t="s">
        <v>1151</v>
      </c>
      <c r="H290" s="3" t="s">
        <v>18</v>
      </c>
      <c r="I290" s="3" t="s">
        <v>43</v>
      </c>
      <c r="J290" s="3" t="s">
        <v>1152</v>
      </c>
      <c r="K290" s="19">
        <v>8</v>
      </c>
      <c r="L290" s="3" t="s">
        <v>81</v>
      </c>
      <c r="M290" s="3" t="s">
        <v>76</v>
      </c>
      <c r="N290" s="22">
        <v>2051</v>
      </c>
    </row>
    <row r="291" spans="1:14" ht="24.95" customHeight="1">
      <c r="A291" s="3" t="s">
        <v>1153</v>
      </c>
      <c r="B291" s="21">
        <v>45133</v>
      </c>
      <c r="C291" s="3" t="s">
        <v>1154</v>
      </c>
      <c r="D291" s="3" t="s">
        <v>41</v>
      </c>
      <c r="E291" s="19">
        <v>4</v>
      </c>
      <c r="F291" s="22">
        <v>160.49</v>
      </c>
      <c r="G291" s="3" t="s">
        <v>79</v>
      </c>
      <c r="H291" s="3" t="s">
        <v>34</v>
      </c>
      <c r="I291" s="3" t="s">
        <v>19</v>
      </c>
      <c r="J291" s="3" t="s">
        <v>1155</v>
      </c>
      <c r="K291" s="19">
        <v>8</v>
      </c>
      <c r="L291" s="3" t="s">
        <v>81</v>
      </c>
      <c r="M291" s="3" t="s">
        <v>29</v>
      </c>
      <c r="N291" s="22">
        <v>641.96</v>
      </c>
    </row>
    <row r="292" spans="1:14" ht="24.95" customHeight="1">
      <c r="A292" s="3" t="s">
        <v>1156</v>
      </c>
      <c r="B292" s="21">
        <v>45051</v>
      </c>
      <c r="C292" s="3" t="s">
        <v>1157</v>
      </c>
      <c r="D292" s="3" t="s">
        <v>41</v>
      </c>
      <c r="E292" s="19">
        <v>3</v>
      </c>
      <c r="F292" s="22">
        <v>99.9</v>
      </c>
      <c r="G292" s="3" t="s">
        <v>755</v>
      </c>
      <c r="H292" s="3" t="s">
        <v>65</v>
      </c>
      <c r="I292" s="3" t="s">
        <v>50</v>
      </c>
      <c r="J292" s="3" t="s">
        <v>1158</v>
      </c>
      <c r="K292" s="19">
        <v>8</v>
      </c>
      <c r="L292" s="3" t="s">
        <v>37</v>
      </c>
      <c r="M292" s="3" t="s">
        <v>45</v>
      </c>
      <c r="N292" s="22">
        <v>299.7</v>
      </c>
    </row>
    <row r="293" spans="1:14" ht="24.95" customHeight="1">
      <c r="A293" s="3" t="s">
        <v>1159</v>
      </c>
      <c r="B293" s="21">
        <v>45424</v>
      </c>
      <c r="C293" s="3" t="s">
        <v>1160</v>
      </c>
      <c r="D293" s="3" t="s">
        <v>25</v>
      </c>
      <c r="E293" s="19">
        <v>2</v>
      </c>
      <c r="F293" s="22">
        <v>345.01</v>
      </c>
      <c r="G293" s="3" t="s">
        <v>1161</v>
      </c>
      <c r="H293" s="3" t="s">
        <v>34</v>
      </c>
      <c r="I293" s="3" t="s">
        <v>50</v>
      </c>
      <c r="J293" s="3" t="s">
        <v>1162</v>
      </c>
      <c r="K293" s="19">
        <v>6</v>
      </c>
      <c r="L293" s="3" t="s">
        <v>37</v>
      </c>
      <c r="M293" s="3" t="s">
        <v>76</v>
      </c>
      <c r="N293" s="22">
        <v>690.02</v>
      </c>
    </row>
    <row r="294" spans="1:14" ht="24.95" customHeight="1">
      <c r="A294" s="3" t="s">
        <v>1163</v>
      </c>
      <c r="B294" s="21">
        <v>45672</v>
      </c>
      <c r="C294" s="3" t="s">
        <v>1164</v>
      </c>
      <c r="D294" s="3" t="s">
        <v>16</v>
      </c>
      <c r="E294" s="19">
        <v>1</v>
      </c>
      <c r="F294" s="22">
        <v>65.95</v>
      </c>
      <c r="G294" s="3" t="s">
        <v>858</v>
      </c>
      <c r="H294" s="3" t="s">
        <v>34</v>
      </c>
      <c r="I294" s="3" t="s">
        <v>50</v>
      </c>
      <c r="J294" s="3" t="s">
        <v>1165</v>
      </c>
      <c r="K294" s="19">
        <v>5</v>
      </c>
      <c r="L294" s="3" t="s">
        <v>1192</v>
      </c>
      <c r="M294" s="3" t="s">
        <v>45</v>
      </c>
      <c r="N294" s="22">
        <v>65.95</v>
      </c>
    </row>
    <row r="295" spans="1:14" ht="24.95" customHeight="1">
      <c r="A295" s="3" t="s">
        <v>1166</v>
      </c>
      <c r="B295" s="21">
        <v>44973</v>
      </c>
      <c r="C295" s="3" t="s">
        <v>1167</v>
      </c>
      <c r="D295" s="3" t="s">
        <v>32</v>
      </c>
      <c r="E295" s="19">
        <v>4</v>
      </c>
      <c r="F295" s="22">
        <v>463.04</v>
      </c>
      <c r="G295" s="3" t="s">
        <v>1168</v>
      </c>
      <c r="H295" s="3" t="s">
        <v>60</v>
      </c>
      <c r="I295" s="3" t="s">
        <v>43</v>
      </c>
      <c r="J295" s="3" t="s">
        <v>1169</v>
      </c>
      <c r="K295" s="19">
        <v>9</v>
      </c>
      <c r="L295" s="3" t="s">
        <v>1192</v>
      </c>
      <c r="M295" s="3" t="s">
        <v>22</v>
      </c>
      <c r="N295" s="22">
        <v>1852.16</v>
      </c>
    </row>
    <row r="296" spans="1:14" ht="24.95" customHeight="1">
      <c r="A296" s="3" t="s">
        <v>1170</v>
      </c>
      <c r="B296" s="21">
        <v>45748</v>
      </c>
      <c r="C296" s="3" t="s">
        <v>1171</v>
      </c>
      <c r="D296" s="3" t="s">
        <v>25</v>
      </c>
      <c r="E296" s="19">
        <v>2</v>
      </c>
      <c r="F296" s="22">
        <v>297.70999999999998</v>
      </c>
      <c r="G296" s="3" t="s">
        <v>1172</v>
      </c>
      <c r="H296" s="3" t="s">
        <v>27</v>
      </c>
      <c r="I296" s="3" t="s">
        <v>19</v>
      </c>
      <c r="J296" s="3" t="s">
        <v>1173</v>
      </c>
      <c r="K296" s="19">
        <v>7</v>
      </c>
      <c r="L296" s="3" t="s">
        <v>21</v>
      </c>
      <c r="M296" s="3" t="s">
        <v>29</v>
      </c>
      <c r="N296" s="22">
        <v>595.41999999999996</v>
      </c>
    </row>
    <row r="297" spans="1:14" ht="24.95" customHeight="1">
      <c r="A297" s="3" t="s">
        <v>1174</v>
      </c>
      <c r="B297" s="21">
        <v>44951</v>
      </c>
      <c r="C297" s="3" t="s">
        <v>1175</v>
      </c>
      <c r="D297" s="3" t="s">
        <v>48</v>
      </c>
      <c r="E297" s="19">
        <v>5</v>
      </c>
      <c r="F297" s="22">
        <v>107.48</v>
      </c>
      <c r="G297" s="3" t="s">
        <v>1176</v>
      </c>
      <c r="H297" s="3" t="s">
        <v>18</v>
      </c>
      <c r="I297" s="3" t="s">
        <v>35</v>
      </c>
      <c r="J297" s="3" t="s">
        <v>1177</v>
      </c>
      <c r="K297" s="19">
        <v>9</v>
      </c>
      <c r="L297" s="3" t="s">
        <v>37</v>
      </c>
      <c r="M297" s="3" t="s">
        <v>38</v>
      </c>
      <c r="N297" s="22">
        <v>537.4</v>
      </c>
    </row>
    <row r="298" spans="1:14" ht="24.95" customHeight="1">
      <c r="A298" s="3" t="s">
        <v>1178</v>
      </c>
      <c r="B298" s="21">
        <v>45462</v>
      </c>
      <c r="C298" s="3" t="s">
        <v>1179</v>
      </c>
      <c r="D298" s="3" t="s">
        <v>73</v>
      </c>
      <c r="E298" s="19">
        <v>5</v>
      </c>
      <c r="F298" s="22">
        <v>638.79999999999995</v>
      </c>
      <c r="G298" s="3" t="s">
        <v>242</v>
      </c>
      <c r="H298" s="3" t="s">
        <v>18</v>
      </c>
      <c r="I298" s="3" t="s">
        <v>35</v>
      </c>
      <c r="J298" s="3" t="s">
        <v>1180</v>
      </c>
      <c r="K298" s="19">
        <v>10</v>
      </c>
      <c r="L298" s="3" t="s">
        <v>81</v>
      </c>
      <c r="M298" s="3" t="s">
        <v>29</v>
      </c>
      <c r="N298" s="22">
        <v>3194</v>
      </c>
    </row>
    <row r="299" spans="1:14" ht="24.95" customHeight="1">
      <c r="A299" s="3" t="s">
        <v>1181</v>
      </c>
      <c r="B299" s="21">
        <v>44979</v>
      </c>
      <c r="C299" s="3" t="s">
        <v>1182</v>
      </c>
      <c r="D299" s="3" t="s">
        <v>73</v>
      </c>
      <c r="E299" s="19">
        <v>2</v>
      </c>
      <c r="F299" s="22">
        <v>493.88</v>
      </c>
      <c r="G299" s="3" t="s">
        <v>1183</v>
      </c>
      <c r="H299" s="3" t="s">
        <v>34</v>
      </c>
      <c r="I299" s="3" t="s">
        <v>43</v>
      </c>
      <c r="J299" s="3" t="s">
        <v>1184</v>
      </c>
      <c r="K299" s="19">
        <v>7</v>
      </c>
      <c r="L299" s="3" t="s">
        <v>21</v>
      </c>
      <c r="M299" s="3" t="s">
        <v>22</v>
      </c>
      <c r="N299" s="22">
        <v>987.76</v>
      </c>
    </row>
    <row r="300" spans="1:14" ht="24.95" customHeight="1">
      <c r="A300" s="3" t="s">
        <v>1185</v>
      </c>
      <c r="B300" s="21">
        <v>45279</v>
      </c>
      <c r="C300" s="3" t="s">
        <v>1186</v>
      </c>
      <c r="D300" s="3" t="s">
        <v>48</v>
      </c>
      <c r="E300" s="19">
        <v>4</v>
      </c>
      <c r="F300" s="22">
        <v>301.17</v>
      </c>
      <c r="G300" s="3" t="s">
        <v>201</v>
      </c>
      <c r="H300" s="3" t="s">
        <v>27</v>
      </c>
      <c r="I300" s="3" t="s">
        <v>35</v>
      </c>
      <c r="J300" s="3" t="s">
        <v>1187</v>
      </c>
      <c r="K300" s="19">
        <v>6</v>
      </c>
      <c r="L300" s="3" t="s">
        <v>1192</v>
      </c>
      <c r="M300" s="3" t="s">
        <v>38</v>
      </c>
      <c r="N300" s="22">
        <v>1204.68</v>
      </c>
    </row>
    <row r="301" spans="1:14" ht="24.95" customHeight="1">
      <c r="A301" s="3" t="s">
        <v>1188</v>
      </c>
      <c r="B301" s="21">
        <v>45311</v>
      </c>
      <c r="C301" s="3" t="s">
        <v>1189</v>
      </c>
      <c r="D301" s="3" t="s">
        <v>16</v>
      </c>
      <c r="E301" s="19">
        <v>1</v>
      </c>
      <c r="F301" s="22">
        <v>278.66000000000003</v>
      </c>
      <c r="G301" s="3" t="s">
        <v>1190</v>
      </c>
      <c r="H301" s="3" t="s">
        <v>60</v>
      </c>
      <c r="I301" s="3" t="s">
        <v>35</v>
      </c>
      <c r="J301" s="3" t="s">
        <v>1191</v>
      </c>
      <c r="K301" s="19">
        <v>2</v>
      </c>
      <c r="L301" s="3" t="s">
        <v>37</v>
      </c>
      <c r="M301" s="3" t="s">
        <v>22</v>
      </c>
      <c r="N301" s="22">
        <v>278.66000000000003</v>
      </c>
    </row>
  </sheetData>
  <conditionalFormatting sqref="F2:F301">
    <cfRule type="dataBar" priority="1">
      <dataBar>
        <cfvo type="min"/>
        <cfvo type="max"/>
        <color rgb="FFFFB628"/>
      </dataBar>
      <extLst>
        <ext xmlns:x14="http://schemas.microsoft.com/office/spreadsheetml/2009/9/main" uri="{B025F937-C7B1-47D3-B67F-A62EFF666E3E}">
          <x14:id>{4EA13063-8212-4659-A1E8-056653D3FFFA}</x14:id>
        </ext>
      </extLst>
    </cfRule>
  </conditionalFormatting>
  <conditionalFormatting sqref="I2:I301">
    <cfRule type="containsText" dxfId="2" priority="2" operator="containsText" text="Returned">
      <formula>NOT(ISERROR(SEARCH("Returned",I2)))</formula>
    </cfRule>
    <cfRule type="containsText" dxfId="1" priority="3" operator="containsText" text="Cancelled">
      <formula>NOT(ISERROR(SEARCH("Cancelled",I2)))</formula>
    </cfRule>
  </conditionalFormatting>
  <conditionalFormatting sqref="N2:N301">
    <cfRule type="cellIs" dxfId="0" priority="4" operator="greaterThan">
      <formula>2000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EA13063-8212-4659-A1E8-056653D3FFFA}">
            <x14:dataBar minLength="0" maxLength="100" border="1" negativeBarBorderColorSameAsPositive="0">
              <x14:cfvo type="autoMin"/>
              <x14:cfvo type="autoMax"/>
              <x14:borderColor rgb="FFFFB628"/>
              <x14:negativeFillColor rgb="FFFF0000"/>
              <x14:negativeBorderColor rgb="FFFF0000"/>
              <x14:axisColor rgb="FF000000"/>
            </x14:dataBar>
          </x14:cfRule>
          <xm:sqref>F2:F301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496D0-5CAC-48CF-94BB-D83D274A828C}">
  <dimension ref="A3:P11"/>
  <sheetViews>
    <sheetView zoomScale="90" zoomScaleNormal="90" workbookViewId="0">
      <selection activeCell="J12" sqref="J12"/>
    </sheetView>
  </sheetViews>
  <sheetFormatPr defaultRowHeight="15"/>
  <cols>
    <col min="1" max="1" width="13.42578125" bestFit="1" customWidth="1"/>
    <col min="2" max="2" width="16.85546875" bestFit="1" customWidth="1"/>
    <col min="3" max="3" width="15.5703125" bestFit="1" customWidth="1"/>
    <col min="4" max="4" width="16.5703125" bestFit="1" customWidth="1"/>
    <col min="6" max="6" width="13.42578125" bestFit="1" customWidth="1"/>
    <col min="7" max="7" width="16.5703125" bestFit="1" customWidth="1"/>
    <col min="8" max="8" width="16.85546875" bestFit="1" customWidth="1"/>
    <col min="10" max="11" width="16.85546875" bestFit="1" customWidth="1"/>
    <col min="12" max="15" width="11" bestFit="1" customWidth="1"/>
    <col min="16" max="16" width="12" bestFit="1" customWidth="1"/>
  </cols>
  <sheetData>
    <row r="3" spans="1:16">
      <c r="A3" s="31" t="s">
        <v>1193</v>
      </c>
      <c r="B3" s="32" t="s">
        <v>1195</v>
      </c>
      <c r="C3" s="32" t="s">
        <v>1197</v>
      </c>
      <c r="D3" s="32" t="s">
        <v>1196</v>
      </c>
      <c r="F3" s="10" t="s">
        <v>1193</v>
      </c>
      <c r="G3" t="s">
        <v>1196</v>
      </c>
      <c r="H3" t="s">
        <v>1195</v>
      </c>
      <c r="J3" s="10" t="s">
        <v>1195</v>
      </c>
      <c r="K3" s="10" t="s">
        <v>1198</v>
      </c>
    </row>
    <row r="4" spans="1:16">
      <c r="A4" s="33" t="s">
        <v>41</v>
      </c>
      <c r="B4" s="34">
        <v>52094.400000000001</v>
      </c>
      <c r="C4" s="35">
        <v>147</v>
      </c>
      <c r="D4" s="36">
        <v>46</v>
      </c>
      <c r="F4" s="11" t="s">
        <v>35</v>
      </c>
      <c r="G4" s="30">
        <v>73</v>
      </c>
      <c r="H4" s="9">
        <v>77333.509999999995</v>
      </c>
      <c r="J4" s="10" t="s">
        <v>1193</v>
      </c>
      <c r="K4" t="s">
        <v>38</v>
      </c>
      <c r="L4" t="s">
        <v>45</v>
      </c>
      <c r="M4" t="s">
        <v>76</v>
      </c>
      <c r="N4" t="s">
        <v>22</v>
      </c>
      <c r="O4" t="s">
        <v>29</v>
      </c>
      <c r="P4" t="s">
        <v>1194</v>
      </c>
    </row>
    <row r="5" spans="1:16">
      <c r="A5" s="33" t="s">
        <v>73</v>
      </c>
      <c r="B5" s="34">
        <v>44510.580000000009</v>
      </c>
      <c r="C5" s="35">
        <v>120</v>
      </c>
      <c r="D5" s="36">
        <v>41</v>
      </c>
      <c r="F5" s="11" t="s">
        <v>50</v>
      </c>
      <c r="G5" s="30">
        <v>58</v>
      </c>
      <c r="H5" s="9">
        <v>52651.329999999994</v>
      </c>
      <c r="J5" s="11" t="s">
        <v>65</v>
      </c>
      <c r="K5" s="9">
        <v>10333.69</v>
      </c>
      <c r="L5" s="9">
        <v>3765.5699999999997</v>
      </c>
      <c r="M5" s="9">
        <v>10112.789999999999</v>
      </c>
      <c r="N5" s="9">
        <v>14382.929999999998</v>
      </c>
      <c r="O5" s="9">
        <v>12953.19</v>
      </c>
      <c r="P5" s="9">
        <v>51548.17</v>
      </c>
    </row>
    <row r="6" spans="1:16">
      <c r="A6" s="33" t="s">
        <v>58</v>
      </c>
      <c r="B6" s="34">
        <v>32198.149999999998</v>
      </c>
      <c r="C6" s="35">
        <v>104</v>
      </c>
      <c r="D6" s="36">
        <v>35</v>
      </c>
      <c r="F6" s="11" t="s">
        <v>89</v>
      </c>
      <c r="G6" s="30">
        <v>56</v>
      </c>
      <c r="H6" s="9">
        <v>59564.289999999979</v>
      </c>
      <c r="J6" s="11" t="s">
        <v>34</v>
      </c>
      <c r="K6" s="9">
        <v>13787.669999999998</v>
      </c>
      <c r="L6" s="9">
        <v>11419.610000000002</v>
      </c>
      <c r="M6" s="9">
        <v>16328.04</v>
      </c>
      <c r="N6" s="9">
        <v>14156.949999999999</v>
      </c>
      <c r="O6" s="9">
        <v>12352.080000000002</v>
      </c>
      <c r="P6" s="9">
        <v>68044.350000000006</v>
      </c>
    </row>
    <row r="7" spans="1:16">
      <c r="A7" s="33" t="s">
        <v>16</v>
      </c>
      <c r="B7" s="34">
        <v>36808.04</v>
      </c>
      <c r="C7" s="35">
        <v>114</v>
      </c>
      <c r="D7" s="36">
        <v>43</v>
      </c>
      <c r="F7" s="11" t="s">
        <v>43</v>
      </c>
      <c r="G7" s="30">
        <v>54</v>
      </c>
      <c r="H7" s="9">
        <v>51872.140000000007</v>
      </c>
      <c r="J7" s="11" t="s">
        <v>18</v>
      </c>
      <c r="K7" s="9">
        <v>14151.499999999998</v>
      </c>
      <c r="L7" s="9">
        <v>7802.7400000000007</v>
      </c>
      <c r="M7" s="9">
        <v>17984.969999999998</v>
      </c>
      <c r="N7" s="9">
        <v>7742.9000000000005</v>
      </c>
      <c r="O7" s="9">
        <v>8782.2000000000007</v>
      </c>
      <c r="P7" s="9">
        <v>56464.31</v>
      </c>
    </row>
    <row r="8" spans="1:16">
      <c r="A8" s="33" t="s">
        <v>25</v>
      </c>
      <c r="B8" s="34">
        <v>38087.300000000003</v>
      </c>
      <c r="C8" s="35">
        <v>108</v>
      </c>
      <c r="D8" s="36">
        <v>40</v>
      </c>
      <c r="F8" s="11" t="s">
        <v>19</v>
      </c>
      <c r="G8" s="30">
        <v>59</v>
      </c>
      <c r="H8" s="9">
        <v>65555.650000000009</v>
      </c>
      <c r="J8" s="11" t="s">
        <v>60</v>
      </c>
      <c r="K8" s="9">
        <v>7292.43</v>
      </c>
      <c r="L8" s="9">
        <v>12213.380000000001</v>
      </c>
      <c r="M8" s="9">
        <v>12504.85</v>
      </c>
      <c r="N8" s="9">
        <v>15496.11</v>
      </c>
      <c r="O8" s="9">
        <v>7817.0599999999995</v>
      </c>
      <c r="P8" s="9">
        <v>55323.83</v>
      </c>
    </row>
    <row r="9" spans="1:16">
      <c r="A9" s="33" t="s">
        <v>48</v>
      </c>
      <c r="B9" s="34">
        <v>52785.199999999983</v>
      </c>
      <c r="C9" s="35">
        <v>155</v>
      </c>
      <c r="D9" s="36">
        <v>52</v>
      </c>
      <c r="F9" s="11" t="s">
        <v>1194</v>
      </c>
      <c r="G9" s="30">
        <v>300</v>
      </c>
      <c r="H9" s="9">
        <v>306976.92</v>
      </c>
      <c r="J9" s="11" t="s">
        <v>27</v>
      </c>
      <c r="K9" s="9">
        <v>13687.07</v>
      </c>
      <c r="L9" s="9">
        <v>21138.789999999997</v>
      </c>
      <c r="M9" s="9">
        <v>16536.47</v>
      </c>
      <c r="N9" s="9">
        <v>11117.32</v>
      </c>
      <c r="O9" s="9">
        <v>13116.610000000002</v>
      </c>
      <c r="P9" s="9">
        <v>75596.260000000009</v>
      </c>
    </row>
    <row r="10" spans="1:16">
      <c r="A10" s="33" t="s">
        <v>32</v>
      </c>
      <c r="B10" s="34">
        <v>50493.25</v>
      </c>
      <c r="C10" s="35">
        <v>122</v>
      </c>
      <c r="D10" s="36">
        <v>43</v>
      </c>
      <c r="J10" s="11" t="s">
        <v>1194</v>
      </c>
      <c r="K10" s="9">
        <v>59252.36</v>
      </c>
      <c r="L10" s="9">
        <v>56340.09</v>
      </c>
      <c r="M10" s="9">
        <v>73467.12</v>
      </c>
      <c r="N10" s="9">
        <v>62896.21</v>
      </c>
      <c r="O10" s="9">
        <v>55021.14</v>
      </c>
      <c r="P10" s="9">
        <v>306976.92000000004</v>
      </c>
    </row>
    <row r="11" spans="1:16">
      <c r="A11" s="33" t="s">
        <v>1194</v>
      </c>
      <c r="B11" s="34">
        <v>306976.91999999981</v>
      </c>
      <c r="C11" s="35">
        <v>870</v>
      </c>
      <c r="D11" s="36">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0EC98-8808-4F01-9F78-3EB1E8BEEB0F}">
  <dimension ref="A1:D2"/>
  <sheetViews>
    <sheetView workbookViewId="0">
      <selection activeCell="B7" sqref="B7"/>
    </sheetView>
  </sheetViews>
  <sheetFormatPr defaultColWidth="20.7109375" defaultRowHeight="24.95" customHeight="1"/>
  <cols>
    <col min="1" max="1" width="32.140625" bestFit="1" customWidth="1"/>
    <col min="2" max="2" width="44.85546875" bestFit="1" customWidth="1"/>
    <col min="3" max="3" width="36.42578125" bestFit="1" customWidth="1"/>
    <col min="4" max="4" width="35.7109375" bestFit="1" customWidth="1"/>
  </cols>
  <sheetData>
    <row r="1" spans="1:4" ht="24.95" customHeight="1">
      <c r="A1" s="12" t="s">
        <v>1219</v>
      </c>
      <c r="B1" s="13" t="s">
        <v>1220</v>
      </c>
      <c r="C1" s="13" t="s">
        <v>1221</v>
      </c>
      <c r="D1" s="14" t="s">
        <v>1222</v>
      </c>
    </row>
    <row r="2" spans="1:4" ht="24.95" customHeight="1">
      <c r="A2" s="15">
        <f>VLOOKUP("ORD200000",'Cleaned Data'!A:N,6,FALSE)</f>
        <v>570.62</v>
      </c>
      <c r="B2" s="16" t="str">
        <f>INDEX('Cleaned Data'!I:I,MATCH("C72649",'Cleaned Data'!C:C,0))</f>
        <v>Shipped</v>
      </c>
      <c r="C2" s="16" t="str">
        <f>IF('Cleaned Data'!L2&lt;&gt;"None","Discount Applied","No Discount")</f>
        <v>Discount Applied</v>
      </c>
      <c r="D2" s="17" t="str">
        <f>IF(AND('Cleaned Data'!N2&gt;2000,'Cleaned Data'!I2="Shipped"),"High Value-In Transit",IF(OR('Cleaned Data'!I2="Cancelled",'Cleaned Data'!I2="Returned"),"Revenue Risk","Standard Order"))</f>
        <v>High Value-In Transit</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BF1C-61B2-43C9-94B5-64CD9EF2E93C}">
  <dimension ref="B3:Y3"/>
  <sheetViews>
    <sheetView showGridLines="0" workbookViewId="0">
      <selection activeCell="R21" sqref="R21"/>
    </sheetView>
  </sheetViews>
  <sheetFormatPr defaultRowHeight="15"/>
  <sheetData>
    <row r="3" spans="2:25" ht="21">
      <c r="B3" s="25" t="s">
        <v>1223</v>
      </c>
      <c r="C3" s="25"/>
      <c r="D3" s="25"/>
      <c r="E3" s="25"/>
      <c r="F3" s="25"/>
      <c r="G3" s="25"/>
      <c r="H3" s="25"/>
      <c r="I3" s="25"/>
      <c r="J3" s="25" t="s">
        <v>1224</v>
      </c>
      <c r="K3" s="26"/>
      <c r="L3" s="26"/>
      <c r="M3" s="26"/>
      <c r="N3" s="26"/>
      <c r="O3" s="26"/>
      <c r="P3" s="26"/>
      <c r="Q3" s="26"/>
      <c r="R3" s="25" t="s">
        <v>1225</v>
      </c>
      <c r="S3" s="25"/>
      <c r="T3" s="25"/>
      <c r="U3" s="25"/>
      <c r="V3" s="25"/>
      <c r="W3" s="25"/>
      <c r="X3" s="25"/>
      <c r="Y3" s="25"/>
    </row>
  </sheetData>
  <mergeCells count="3">
    <mergeCell ref="B3:I3"/>
    <mergeCell ref="J3:Q3"/>
    <mergeCell ref="R3:Y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DA532-A871-4F6A-845D-5119E7ACE8A5}">
  <dimension ref="A1:X2"/>
  <sheetViews>
    <sheetView showGridLines="0" zoomScale="70" zoomScaleNormal="70" workbookViewId="0">
      <selection sqref="A1:X1"/>
    </sheetView>
  </sheetViews>
  <sheetFormatPr defaultRowHeight="15"/>
  <sheetData>
    <row r="1" spans="1:24" ht="28.5">
      <c r="A1" s="27" t="s">
        <v>1217</v>
      </c>
      <c r="B1" s="27"/>
      <c r="C1" s="27"/>
      <c r="D1" s="27"/>
      <c r="E1" s="27"/>
      <c r="F1" s="27"/>
      <c r="G1" s="27"/>
      <c r="H1" s="27"/>
      <c r="I1" s="27"/>
      <c r="J1" s="27"/>
      <c r="K1" s="27"/>
      <c r="L1" s="27"/>
      <c r="M1" s="27"/>
      <c r="N1" s="27"/>
      <c r="O1" s="27"/>
      <c r="P1" s="27"/>
      <c r="Q1" s="27"/>
      <c r="R1" s="27"/>
      <c r="S1" s="27"/>
      <c r="T1" s="27"/>
      <c r="U1" s="27"/>
      <c r="V1" s="27"/>
      <c r="W1" s="27"/>
      <c r="X1" s="27"/>
    </row>
    <row r="2" spans="1:24" ht="26.25">
      <c r="A2" s="28" t="s">
        <v>1218</v>
      </c>
      <c r="B2" s="28"/>
      <c r="C2" s="28"/>
      <c r="D2" s="28"/>
      <c r="E2" s="28"/>
      <c r="F2" s="28"/>
      <c r="G2" s="28"/>
      <c r="H2" s="28"/>
      <c r="I2" s="28"/>
      <c r="J2" s="28"/>
      <c r="K2" s="28"/>
      <c r="L2" s="28"/>
      <c r="M2" s="28"/>
      <c r="N2" s="28"/>
      <c r="O2" s="28"/>
      <c r="P2" s="28"/>
      <c r="Q2" s="28"/>
      <c r="R2" s="28"/>
      <c r="S2" s="28"/>
      <c r="T2" s="28"/>
      <c r="U2" s="28"/>
      <c r="V2" s="28"/>
      <c r="W2" s="28"/>
      <c r="X2" s="28"/>
    </row>
  </sheetData>
  <mergeCells count="2">
    <mergeCell ref="A1:X1"/>
    <mergeCell ref="A2:X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F6246-D6B0-4A3C-9868-DD28E61341CE}">
  <dimension ref="A1:C9"/>
  <sheetViews>
    <sheetView workbookViewId="0">
      <selection activeCell="C7" sqref="C7"/>
    </sheetView>
  </sheetViews>
  <sheetFormatPr defaultRowHeight="15"/>
  <cols>
    <col min="1" max="1" width="10.42578125" customWidth="1"/>
    <col min="2" max="2" width="14.5703125" customWidth="1"/>
    <col min="3" max="3" width="124.85546875" customWidth="1"/>
  </cols>
  <sheetData>
    <row r="1" spans="1:3" ht="24.95" customHeight="1">
      <c r="A1" s="29" t="s">
        <v>1199</v>
      </c>
      <c r="B1" s="29"/>
      <c r="C1" s="29"/>
    </row>
    <row r="2" spans="1:3" s="23" customFormat="1">
      <c r="A2" s="24" t="s">
        <v>1200</v>
      </c>
      <c r="B2" s="24" t="s">
        <v>1201</v>
      </c>
      <c r="C2" s="24" t="s">
        <v>1202</v>
      </c>
    </row>
    <row r="3" spans="1:3">
      <c r="A3" s="3">
        <v>1</v>
      </c>
      <c r="B3" s="3" t="s">
        <v>1213</v>
      </c>
      <c r="C3" s="3" t="s">
        <v>1214</v>
      </c>
    </row>
    <row r="4" spans="1:3">
      <c r="A4" s="3">
        <v>2</v>
      </c>
      <c r="B4" s="3" t="s">
        <v>1211</v>
      </c>
      <c r="C4" s="3" t="s">
        <v>1212</v>
      </c>
    </row>
    <row r="5" spans="1:3">
      <c r="A5" s="3">
        <v>3</v>
      </c>
      <c r="B5" s="3" t="s">
        <v>1215</v>
      </c>
      <c r="C5" s="3" t="s">
        <v>1209</v>
      </c>
    </row>
    <row r="6" spans="1:3">
      <c r="A6" s="3">
        <v>4</v>
      </c>
      <c r="B6" s="3" t="s">
        <v>1210</v>
      </c>
      <c r="C6" s="3" t="s">
        <v>1216</v>
      </c>
    </row>
    <row r="7" spans="1:3">
      <c r="A7" s="3">
        <v>5</v>
      </c>
      <c r="B7" s="3" t="s">
        <v>1207</v>
      </c>
      <c r="C7" s="3" t="s">
        <v>1208</v>
      </c>
    </row>
    <row r="8" spans="1:3">
      <c r="A8" s="3">
        <v>6</v>
      </c>
      <c r="B8" s="3" t="s">
        <v>1204</v>
      </c>
      <c r="C8" s="3" t="s">
        <v>1206</v>
      </c>
    </row>
    <row r="9" spans="1:3">
      <c r="A9" s="3">
        <v>7</v>
      </c>
      <c r="B9" s="3" t="s">
        <v>1203</v>
      </c>
      <c r="C9" s="3" t="s">
        <v>1205</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Cleaned Data</vt:lpstr>
      <vt:lpstr>Pivot Table</vt:lpstr>
      <vt:lpstr>Formulas</vt:lpstr>
      <vt:lpstr>Visualization</vt:lpstr>
      <vt:lpstr>Dashboard</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 Thakar</dc:creator>
  <cp:lastModifiedBy>Sarth Thakar</cp:lastModifiedBy>
  <dcterms:created xsi:type="dcterms:W3CDTF">2026-09-15T03:17:07Z</dcterms:created>
  <dcterms:modified xsi:type="dcterms:W3CDTF">2026-09-15T14:11:09Z</dcterms:modified>
</cp:coreProperties>
</file>